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W\ISO\wangyiming\docs\module1\"/>
    </mc:Choice>
  </mc:AlternateContent>
  <xr:revisionPtr revIDLastSave="0" documentId="13_ncr:1_{34D2031B-1CFC-4879-A351-7BE41CF6DE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81029" concurrentCalc="0"/>
</workbook>
</file>

<file path=xl/calcChain.xml><?xml version="1.0" encoding="utf-8"?>
<calcChain xmlns="http://schemas.openxmlformats.org/spreadsheetml/2006/main">
  <c r="E13" i="1" l="1"/>
  <c r="C43" i="1"/>
  <c r="C41" i="1"/>
  <c r="E41" i="1"/>
  <c r="C40" i="1"/>
  <c r="E40" i="1"/>
  <c r="C39" i="1"/>
  <c r="E39" i="1"/>
  <c r="C38" i="1"/>
  <c r="E38" i="1"/>
</calcChain>
</file>

<file path=xl/sharedStrings.xml><?xml version="1.0" encoding="utf-8"?>
<sst xmlns="http://schemas.openxmlformats.org/spreadsheetml/2006/main" count="2310" uniqueCount="490">
  <si>
    <t>Test  Case Form 测试用例表单</t>
  </si>
  <si>
    <t>General Information 基本信息</t>
  </si>
  <si>
    <t>Product Verion 产品版本</t>
  </si>
  <si>
    <t>v1.0 / 模块一</t>
  </si>
  <si>
    <t>Confidentiality level 密级</t>
  </si>
  <si>
    <t>内部</t>
  </si>
  <si>
    <t>Project Name 项目名称</t>
  </si>
  <si>
    <t>SteelRailWay 铁路缺陷检测系统</t>
  </si>
  <si>
    <t>Project ID 项目ID</t>
  </si>
  <si>
    <t>STQA-SRW-M1</t>
  </si>
  <si>
    <t>Prepared by 拟制</t>
  </si>
  <si>
    <t>Date 日期</t>
  </si>
  <si>
    <t>2026.09.14</t>
  </si>
  <si>
    <t>Reviewed by 评审人</t>
  </si>
  <si>
    <t>Approved by 批准</t>
  </si>
  <si>
    <t>Number of Test cases 测试用例数</t>
  </si>
  <si>
    <t>Introduction 概述</t>
  </si>
  <si>
    <t>Phase 1 共 172 条：黑盒（等价类/边界值/判定表/状态转换）与白盒（语句/分支/条件/路径）。pytest 一键执行，无需真实钢轨数据。数字以可执行脚本为准。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</si>
  <si>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</si>
  <si>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</si>
  <si>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</si>
  <si>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</si>
  <si>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</si>
  <si>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</si>
  <si>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1.00</t>
  </si>
  <si>
    <t>—</t>
  </si>
  <si>
    <t>初稿完成：整合 Phase 1 测试用例</t>
  </si>
  <si>
    <t>测试小组</t>
  </si>
  <si>
    <t>Distribution LIST 分发记录</t>
  </si>
  <si>
    <t>Copy No.</t>
  </si>
  <si>
    <t>Holder's Name &amp; Role  持有者和角色</t>
  </si>
  <si>
    <t>Issue Date  分发日期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</si>
  <si>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</si>
  <si>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</si>
  <si>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</si>
  <si>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</si>
  <si>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</si>
  <si>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</si>
  <si>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</si>
  <si>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</si>
  <si>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</si>
  <si>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</si>
  <si>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</si>
  <si>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</si>
  <si>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</si>
  <si>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</si>
  <si>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</si>
  <si>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</si>
  <si>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</si>
  <si>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</si>
  <si>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</si>
  <si>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</si>
  <si>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</si>
  <si>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</si>
  <si>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</si>
  <si>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TC-EP-001-1</t>
  </si>
  <si>
    <t>RailDualModalDataset</t>
  </si>
  <si>
    <t>view_id 有效范围可创建数据集</t>
  </si>
  <si>
    <t>Low</t>
  </si>
  <si>
    <t>是</t>
  </si>
  <si>
    <t>否</t>
  </si>
  <si>
    <t>无需真实钢轨图像；用 pytest tmp_path 创建 Cam*/rgb 与 depth 空目录。</t>
  </si>
  <si>
    <t>view_id=1, split=train</t>
  </si>
  <si>
    <t>实例化 RailDualModalDataset，必要时访问长度或样本，断言参数或异常。</t>
  </si>
  <si>
    <t>对象创建成功，关键属性与配置一致</t>
  </si>
  <si>
    <t>OK</t>
  </si>
  <si>
    <t>等价类划分</t>
  </si>
  <si>
    <t>TC-EP-001-2</t>
  </si>
  <si>
    <t>view_id 下边界 1</t>
  </si>
  <si>
    <t>POK</t>
  </si>
  <si>
    <t>TC-EP-001-3</t>
  </si>
  <si>
    <t>view_id 上边界 8</t>
  </si>
  <si>
    <t>view_id=8, split=train</t>
  </si>
  <si>
    <t>NG</t>
  </si>
  <si>
    <t>TC-EP-001-4</t>
  </si>
  <si>
    <t>view_id=0 应被拒绝</t>
  </si>
  <si>
    <t>Medium</t>
  </si>
  <si>
    <t>view_id=0, split=train</t>
  </si>
  <si>
    <t>抛出 ValueError</t>
  </si>
  <si>
    <t>NT</t>
  </si>
  <si>
    <t>TC-EP-001-5</t>
  </si>
  <si>
    <t>view_id 为负数应被拒绝</t>
  </si>
  <si>
    <t>view_id=-1, split=train</t>
  </si>
  <si>
    <t>TC-EP-001-6</t>
  </si>
  <si>
    <t>view_id&gt;8 应被拒绝</t>
  </si>
  <si>
    <t>view_id=9, split=train</t>
  </si>
  <si>
    <t>TC-EP-002-1</t>
  </si>
  <si>
    <t>split=train 合法</t>
  </si>
  <si>
    <t>TC-EP-002-2</t>
  </si>
  <si>
    <t>split=val 合法</t>
  </si>
  <si>
    <t>view_id=1, split=val</t>
  </si>
  <si>
    <t>TC-EP-002-3</t>
  </si>
  <si>
    <t>split=test 合法</t>
  </si>
  <si>
    <t>view_id=1, split=test</t>
  </si>
  <si>
    <t>TC-EP-002-4</t>
  </si>
  <si>
    <t>split 为空串应被拒绝</t>
  </si>
  <si>
    <t>view_id=1, split=</t>
  </si>
  <si>
    <t>TC-EP-002-5</t>
  </si>
  <si>
    <t>split 为未知值应被拒绝</t>
  </si>
  <si>
    <t>view_id=1, split=unknown</t>
  </si>
  <si>
    <t>TC-EP-003-1</t>
  </si>
  <si>
    <t>img_size 默认值 256</t>
  </si>
  <si>
    <t>TC-EP-003-2</t>
  </si>
  <si>
    <t>img_size 自定义 512</t>
  </si>
  <si>
    <t>view_id=1, split=train, img_size=512</t>
  </si>
  <si>
    <t>TC-EP-003-3</t>
  </si>
  <si>
    <t>img_size=0 应被拒绝</t>
  </si>
  <si>
    <t>view_id=1, split=train, img_size=0</t>
  </si>
  <si>
    <t>TC-EP-003-4</t>
  </si>
  <si>
    <t>img_size 为负数应被拒绝</t>
  </si>
  <si>
    <t>view_id=1, split=train, img_size=-1</t>
  </si>
  <si>
    <t>TC-EP-004-1</t>
  </si>
  <si>
    <t>depth_norm=zscore 合法</t>
  </si>
  <si>
    <t>view_id=1, split=train, depth_norm=zscore</t>
  </si>
  <si>
    <t>TC-EP-004-2</t>
  </si>
  <si>
    <t>depth_norm=minmax 合法</t>
  </si>
  <si>
    <t>view_id=1, split=train, depth_norm=minmax</t>
  </si>
  <si>
    <t>TC-EP-004-3</t>
  </si>
  <si>
    <t>depth_norm=log 合法</t>
  </si>
  <si>
    <t>view_id=1, split=train, depth_norm=log</t>
  </si>
  <si>
    <t>TC-EP-004-4</t>
  </si>
  <si>
    <t>depth_norm 非法取值应被拒绝</t>
  </si>
  <si>
    <t>view_id=1, split=train, depth_norm=invalid</t>
  </si>
  <si>
    <t>TC-EP-005-1</t>
  </si>
  <si>
    <t>train_sample_ratio=1.0 使用全部数据</t>
  </si>
  <si>
    <t>view_id=1, split=train, train_sample_ratio=1.0</t>
  </si>
  <si>
    <t>TC-EP-005-2</t>
  </si>
  <si>
    <t>train_sample_ratio=0.5 半采样</t>
  </si>
  <si>
    <t>view_id=1, split=train, train_sample_ratio=0.5</t>
  </si>
  <si>
    <t>TC-EP-005-3</t>
  </si>
  <si>
    <t>train_sample_ratio=0.0 边界</t>
  </si>
  <si>
    <t>view_id=1, split=train, train_sample_ratio=0.0</t>
  </si>
  <si>
    <t>TC-EP-005-4</t>
  </si>
  <si>
    <t>train_sample_ratio 为负应被拒绝</t>
  </si>
  <si>
    <t>view_id=1, split=train, train_sample_ratio=-0.5</t>
  </si>
  <si>
    <t>TC-EP-005-5</t>
  </si>
  <si>
    <t>train_sample_ratio&gt;1 应被拒绝</t>
  </si>
  <si>
    <t>view_id=1, split=train, train_sample_ratio=1.5</t>
  </si>
  <si>
    <t>TC-EP-006-1</t>
  </si>
  <si>
    <t>patch_stride 取正整数合法</t>
  </si>
  <si>
    <t>view_id=1, split=train, patch_stride=850</t>
  </si>
  <si>
    <t>TC-EP-006-2</t>
  </si>
  <si>
    <t>patch_stride=0 应被拒绝（DEF-004）</t>
  </si>
  <si>
    <t>High</t>
  </si>
  <si>
    <t>view_id=1, split=train, patch_stride=0</t>
  </si>
  <si>
    <t>TC-EP-006-3</t>
  </si>
  <si>
    <t>patch_stride 为负应被拒绝</t>
  </si>
  <si>
    <t>view_id=1, split=train, patch_stride=-100</t>
  </si>
  <si>
    <t>TC-BV-001-1</t>
  </si>
  <si>
    <t>img_size 最小值 1</t>
  </si>
  <si>
    <t>view_id=1, split=train, img_size=1</t>
  </si>
  <si>
    <t>边界值分析</t>
  </si>
  <si>
    <t>TC-BV-001-2</t>
  </si>
  <si>
    <t>img_size 最小值+1</t>
  </si>
  <si>
    <t>view_id=1, split=train, img_size=2</t>
  </si>
  <si>
    <t>TC-BV-001-3</t>
  </si>
  <si>
    <t>img_size 常用值 224/256/512/1024</t>
  </si>
  <si>
    <t>view_id=1, split=train, img_size=size</t>
  </si>
  <si>
    <t>TC-BV-001-4</t>
  </si>
  <si>
    <t>img_size 极大值 10000</t>
  </si>
  <si>
    <t>view_id=1, split=train, img_size=10000</t>
  </si>
  <si>
    <t>TC-BV-001-5</t>
  </si>
  <si>
    <t>img_size=0 边界应被拒绝</t>
  </si>
  <si>
    <t>TC-BV-001-6</t>
  </si>
  <si>
    <t>img_size 负边界应被拒绝</t>
  </si>
  <si>
    <t>TC-BV-002-1</t>
  </si>
  <si>
    <t>patch_size 最小值 1</t>
  </si>
  <si>
    <t>view_id=1, split=train, patch_size=1</t>
  </si>
  <si>
    <t>TC-BV-002-2</t>
  </si>
  <si>
    <t>patch_size 默认值 900</t>
  </si>
  <si>
    <t>TC-BV-002-3</t>
  </si>
  <si>
    <t>patch_size=0 应被拒绝</t>
  </si>
  <si>
    <t>view_id=1, split=train, patch_size=0</t>
  </si>
  <si>
    <t>TC-BV-003-1</t>
  </si>
  <si>
    <t>patch_stride 合法正值</t>
  </si>
  <si>
    <t>view_id=1, split=train, patch_stride=stride</t>
  </si>
  <si>
    <t>TC-BV-003-2</t>
  </si>
  <si>
    <t>TC-BV-003-3</t>
  </si>
  <si>
    <t>TC-BV-003-4</t>
  </si>
  <si>
    <t>patch_stride 等于 patch_size（无重叠）</t>
  </si>
  <si>
    <t>view_id=1, split=train, patch_size=900, patch_stride=900</t>
  </si>
  <si>
    <t>TC-BV-004-1</t>
  </si>
  <si>
    <t>train_sample_ratio=0 边界</t>
  </si>
  <si>
    <t>TC-BV-004-2</t>
  </si>
  <si>
    <t>train_sample_ratio 接近 0</t>
  </si>
  <si>
    <t>view_id=1, split=train, train_sample_ratio=0.001</t>
  </si>
  <si>
    <t>TC-BV-004-3</t>
  </si>
  <si>
    <t>train_sample_ratio=0.5</t>
  </si>
  <si>
    <t>TC-BV-004-4</t>
  </si>
  <si>
    <t>train_sample_ratio 接近 1</t>
  </si>
  <si>
    <t>view_id=1, split=train, train_sample_ratio=0.999</t>
  </si>
  <si>
    <t>TC-BV-004-5</t>
  </si>
  <si>
    <t>train_sample_ratio=1.0 上边界</t>
  </si>
  <si>
    <t>TC-BV-004-6</t>
  </si>
  <si>
    <t>view_id=1, split=train, train_sample_ratio=1.1</t>
  </si>
  <si>
    <t>TC-BV-004-7</t>
  </si>
  <si>
    <t>TC-BV-005-1</t>
  </si>
  <si>
    <t>view_id 最小值 1</t>
  </si>
  <si>
    <t>TC-BV-005-2</t>
  </si>
  <si>
    <t>view_id 中间值 4</t>
  </si>
  <si>
    <t>view_id=4, split=train</t>
  </si>
  <si>
    <t>TC-BV-005-3</t>
  </si>
  <si>
    <t>view_id 最大值 8</t>
  </si>
  <si>
    <t>TC-BV-005-4</t>
  </si>
  <si>
    <t>TC-BV-005-5</t>
  </si>
  <si>
    <t>TC-BV-006-1</t>
  </si>
  <si>
    <t>训练集路径不存在应报错</t>
  </si>
  <si>
    <t>抛出 FileNotFoundError</t>
  </si>
  <si>
    <t>TC-BV-006-2</t>
  </si>
  <si>
    <t>超长路径名</t>
  </si>
  <si>
    <t>TC-DT-001-1</t>
  </si>
  <si>
    <t>use_patch=True 且 split=train</t>
  </si>
  <si>
    <t>view_id=1, split=train, use_patch=True</t>
  </si>
  <si>
    <t>判定表</t>
  </si>
  <si>
    <t>TC-DT-001-2</t>
  </si>
  <si>
    <t>use_patch=False 且 split=train</t>
  </si>
  <si>
    <t>view_id=1, split=train, use_patch=False</t>
  </si>
  <si>
    <t>TC-DT-001-3</t>
  </si>
  <si>
    <t>use_patch=True 且 split=test</t>
  </si>
  <si>
    <t>view_id=1, split=test, use_patch=True</t>
  </si>
  <si>
    <t>TC-DT-001-4</t>
  </si>
  <si>
    <t>use_patch=False 且 split=test</t>
  </si>
  <si>
    <t>view_id=1, split=test, use_patch=False</t>
  </si>
  <si>
    <t>TC-DT-002-1</t>
  </si>
  <si>
    <t>depth_norm=zscore 且 use_patch=True</t>
  </si>
  <si>
    <t>view_id=1, split=train, depth_norm=zscore, use_patch=True</t>
  </si>
  <si>
    <t>TC-DT-002-2</t>
  </si>
  <si>
    <t>depth_norm=minmax 且 use_patch=False</t>
  </si>
  <si>
    <t>view_id=1, split=train, depth_norm=minmax, use_patch=False</t>
  </si>
  <si>
    <t>TC-DT-002-3</t>
  </si>
  <si>
    <t>depth_norm=log 且 use_patch=True</t>
  </si>
  <si>
    <t>view_id=1, split=train, depth_norm=log, use_patch=True</t>
  </si>
  <si>
    <t>TC-DT-003-1</t>
  </si>
  <si>
    <t>preload=True 且 split=train</t>
  </si>
  <si>
    <t>view_id=1, split=train, preload=True</t>
  </si>
  <si>
    <t>TC-DT-003-2</t>
  </si>
  <si>
    <t>preload=False 且 split=test</t>
  </si>
  <si>
    <t>view_id=1, split=test, preload=False</t>
  </si>
  <si>
    <t>TC-DT-004-1</t>
  </si>
  <si>
    <t>多参数组合 1</t>
  </si>
  <si>
    <t>view_id=1, split=train, depth_norm=zscore, use_patch=True, preload=True</t>
  </si>
  <si>
    <t>TC-DT-004-2</t>
  </si>
  <si>
    <t>多参数组合 2</t>
  </si>
  <si>
    <t>view_id=1, split=test, depth_norm=minmax, use_patch=False, preload=False</t>
  </si>
  <si>
    <t>TC-DT-004-3</t>
  </si>
  <si>
    <t>多参数组合 3</t>
  </si>
  <si>
    <t>view_id=1, split=val, depth_norm=log, use_patch=True, preload=False</t>
  </si>
  <si>
    <t>TC-DT-005-1</t>
  </si>
  <si>
    <t>同时给出 ratio 与 sample_num</t>
  </si>
  <si>
    <t>view_id=1, split=train, train_sample_ratio=0.5, train_sample_num=100</t>
  </si>
  <si>
    <t>TC-DT-005-2</t>
  </si>
  <si>
    <t>仅给出 sample_ratio</t>
  </si>
  <si>
    <t>view_id=1, split=train, train_sample_ratio=0.8, train_sample_num=None</t>
  </si>
  <si>
    <t>TC-DT-006-1</t>
  </si>
  <si>
    <t>patch_size 与 stride 冲突配置</t>
  </si>
  <si>
    <t>view_id=1, split=train, use_patch=False, patch_size=512, patch_stride=256</t>
  </si>
  <si>
    <t>TC-DT-006-2</t>
  </si>
  <si>
    <t>test 划分下传入训练采样参数</t>
  </si>
  <si>
    <t>view_id=1, split=test, train_sample_ratio=0.5  # 对测试集不应生效</t>
  </si>
  <si>
    <t>TC-ST-001-1</t>
  </si>
  <si>
    <t>未初始化 → 已初始化</t>
  </si>
  <si>
    <t>状态转换</t>
  </si>
  <si>
    <t>TC-ST-001-2</t>
  </si>
  <si>
    <t>不同配置下完成初始化</t>
  </si>
  <si>
    <t>TC-ST-002-1</t>
  </si>
  <si>
    <t>已初始化 → 加载中</t>
  </si>
  <si>
    <t>TC-ST-002-2</t>
  </si>
  <si>
    <t>加载中 → 数据就绪</t>
  </si>
  <si>
    <t>view_id=1, split=train, use_patch=False  # 不使用 patch，简化测试</t>
  </si>
  <si>
    <t>TC-ST-002-3</t>
  </si>
  <si>
    <t>加载中 → 错误状态</t>
  </si>
  <si>
    <t>TC-ST-003-1</t>
  </si>
  <si>
    <t>训练集切换到验证集</t>
  </si>
  <si>
    <t>TC-ST-003-2</t>
  </si>
  <si>
    <t>训练集切换到测试集</t>
  </si>
  <si>
    <t>TC-ST-004-1</t>
  </si>
  <si>
    <t>延迟加载切换到预加载</t>
  </si>
  <si>
    <t>view_id=1, split=train, preload=False</t>
  </si>
  <si>
    <t>TC-ST-005-1</t>
  </si>
  <si>
    <t>整图模式切换到 patch 模式</t>
  </si>
  <si>
    <t>TC-ST-006-1</t>
  </si>
  <si>
    <t>多步状态序列</t>
  </si>
  <si>
    <t>TC-ST-006-2</t>
  </si>
  <si>
    <t>重复访问保持就绪状态</t>
  </si>
  <si>
    <t>TC-ST-007-1</t>
  </si>
  <si>
    <t>错误后恢复</t>
  </si>
  <si>
    <t>TC-SC-001-1</t>
  </si>
  <si>
    <t>utils/losses.py</t>
  </si>
  <si>
    <t>loss_l2 基本语句覆盖</t>
  </si>
  <si>
    <t>无需真实权重；用 torch.randn 合成特征或构造 Dummy nn.Module。</t>
  </si>
  <si>
    <t>合成张量 / Dummy 模型 / CPU 或 CUDA device</t>
  </si>
  <si>
    <t>调用目标函数，覆盖指定语句/分支/条件/路径并断言返回值。</t>
  </si>
  <si>
    <t>函数按覆盖目标执行，断言通过</t>
  </si>
  <si>
    <t>语句覆盖</t>
  </si>
  <si>
    <t>TC-SC-001-2</t>
  </si>
  <si>
    <t>loss_l2 空特征列表（DEF-WB-001）</t>
  </si>
  <si>
    <t>TC-SC-001-3</t>
  </si>
  <si>
    <t>loss_l2 单尺度</t>
  </si>
  <si>
    <t>TC-SC-002-1</t>
  </si>
  <si>
    <t>loss_distil 基本语句覆盖</t>
  </si>
  <si>
    <t>TC-SC-002-2</t>
  </si>
  <si>
    <t>loss_distil 学生教师特征相同</t>
  </si>
  <si>
    <t>TC-SC-003-1</t>
  </si>
  <si>
    <t>loss_distil_p 基本语句覆盖</t>
  </si>
  <si>
    <t>TC-SC-004-1</t>
  </si>
  <si>
    <t>loss_distil_pixel 基本语句覆盖</t>
  </si>
  <si>
    <t>TC-SC-004-2</t>
  </si>
  <si>
    <t>loss_distil_pixel 池化分支</t>
  </si>
  <si>
    <t>TC-SC-005-1</t>
  </si>
  <si>
    <t>像素相似度基本计算</t>
  </si>
  <si>
    <t>TC-SC-005-2</t>
  </si>
  <si>
    <t>像素相似度 batch 循环</t>
  </si>
  <si>
    <t>TC-SC-006-1</t>
  </si>
  <si>
    <t>calculate_pixel_similarity_f</t>
  </si>
  <si>
    <t>TC-SC-007-1</t>
  </si>
  <si>
    <t>calculate_pixel_similarity_f_2</t>
  </si>
  <si>
    <t>TC-SC-008-1</t>
  </si>
  <si>
    <t>eval/metrics_engineering.py</t>
  </si>
  <si>
    <t>可训练参数统计（正常模型）</t>
  </si>
  <si>
    <t>TC-SC-008-2</t>
  </si>
  <si>
    <t>含冻结层的参数统计</t>
  </si>
  <si>
    <t>TC-SC-008-3</t>
  </si>
  <si>
    <t>空模型除零保护（DEF-WB-003）</t>
  </si>
  <si>
    <t>TC-SC-009-1</t>
  </si>
  <si>
    <t>推理时延（CPU）</t>
  </si>
  <si>
    <t>TC-SC-009-2</t>
  </si>
  <si>
    <t>推理时延 CUDA 分支</t>
  </si>
  <si>
    <t>在 CUDA 可用时执行对应 GPU 分支</t>
  </si>
  <si>
    <t>无 CUDA，pytest 跳过</t>
  </si>
  <si>
    <t>TC-SC-009-3</t>
  </si>
  <si>
    <t>sample_input 类型断言</t>
  </si>
  <si>
    <t>按设计抛出断言或返回约定值</t>
  </si>
  <si>
    <t>TC-SC-010-1</t>
  </si>
  <si>
    <t>CPU 设备峰值显存返回 0</t>
  </si>
  <si>
    <t>TC-SC-010-2</t>
  </si>
  <si>
    <t>CUDA 峰值显存</t>
  </si>
  <si>
    <t>TC-SC-011-1</t>
  </si>
  <si>
    <t>每图误报率（无误报）</t>
  </si>
  <si>
    <t>TC-SC-011-2</t>
  </si>
  <si>
    <t>每图误报率（含误报）</t>
  </si>
  <si>
    <t>TC-SC-011-3</t>
  </si>
  <si>
    <t>无正常样本时误报率为 0</t>
  </si>
  <si>
    <t>TC-SC-011-4</t>
  </si>
  <si>
    <t>误报率接受 list 输入</t>
  </si>
  <si>
    <t>TC-BC-001-1</t>
  </si>
  <si>
    <t>total&gt;0 真分支</t>
  </si>
  <si>
    <t>分支覆盖</t>
  </si>
  <si>
    <t>TC-BC-001-2</t>
  </si>
  <si>
    <t>total&gt;0 假分支（空模型）</t>
  </si>
  <si>
    <t>TC-BC-002-1</t>
  </si>
  <si>
    <t>use_cuda 假分支（CPU）</t>
  </si>
  <si>
    <t>TC-BC-002-2</t>
  </si>
  <si>
    <t>use_cuda 真分支（GPU）</t>
  </si>
  <si>
    <t>TC-BC-003-1</t>
  </si>
  <si>
    <t>device 非 CUDA 时返回 0</t>
  </si>
  <si>
    <t>TC-BC-003-2</t>
  </si>
  <si>
    <t>device 为 CUDA 时读峰值显存</t>
  </si>
  <si>
    <t>TC-BC-004-1</t>
  </si>
  <si>
    <t>n_normal==0 真分支</t>
  </si>
  <si>
    <t>TC-BC-004-2</t>
  </si>
  <si>
    <t>n_normal==0 假分支</t>
  </si>
  <si>
    <t>TC-BC-005-1</t>
  </si>
  <si>
    <t>像素蒸馏 i==0 池化分支</t>
  </si>
  <si>
    <t>TC-BC-005-2</t>
  </si>
  <si>
    <t>像素蒸馏 i==1 池化分支</t>
  </si>
  <si>
    <t>TC-BC-005-3</t>
  </si>
  <si>
    <t>像素蒸馏 i 取其他层</t>
  </si>
  <si>
    <t>TC-BC-005-4</t>
  </si>
  <si>
    <t>像素蒸馏全部池化分支</t>
  </si>
  <si>
    <t>TC-BC-006-1</t>
  </si>
  <si>
    <t>损失循环 0 次</t>
  </si>
  <si>
    <t>TC-BC-006-2</t>
  </si>
  <si>
    <t>损失循环 1 次</t>
  </si>
  <si>
    <t>TC-BC-006-3</t>
  </si>
  <si>
    <t>损失循环 n 次</t>
  </si>
  <si>
    <t>TC-BC-007-1</t>
  </si>
  <si>
    <t>相似度 batch 循环单样本</t>
  </si>
  <si>
    <t>TC-BC-007-2</t>
  </si>
  <si>
    <t>相似度 batch 循环多样本</t>
  </si>
  <si>
    <t>TC-BC-008-1</t>
  </si>
  <si>
    <t>utils/losses.py 与 eval/metrics_engineering.py</t>
  </si>
  <si>
    <t>组合分支全真（含 CUDA）</t>
  </si>
  <si>
    <t>TC-BC-008-2</t>
  </si>
  <si>
    <t>组合分支真假混合</t>
  </si>
  <si>
    <t>TC-BC-008-3</t>
  </si>
  <si>
    <t>组合分支全假</t>
  </si>
  <si>
    <t>TC-BC-009-1</t>
  </si>
  <si>
    <t>嵌套分支外真内真</t>
  </si>
  <si>
    <t>TC-BC-009-2</t>
  </si>
  <si>
    <t>嵌套分支外真内假</t>
  </si>
  <si>
    <t>TC-BC-010-1</t>
  </si>
  <si>
    <t>sample_input 断言成立</t>
  </si>
  <si>
    <t>TC-BC-010-2</t>
  </si>
  <si>
    <t>sample_input 断言失败</t>
  </si>
  <si>
    <t>TC-CC-001-1</t>
  </si>
  <si>
    <t>条件 i==0 真、i==1 假</t>
  </si>
  <si>
    <t>条件覆盖</t>
  </si>
  <si>
    <t>TC-CC-001-2</t>
  </si>
  <si>
    <t>条件 i==0 假、i==1 真</t>
  </si>
  <si>
    <t>TC-CC-001-3</t>
  </si>
  <si>
    <t>条件 i==0 假、i==1 假</t>
  </si>
  <si>
    <t>TC-CC-001-4</t>
  </si>
  <si>
    <t>条件 i==0 与 i==1 无法同时为真的覆盖</t>
  </si>
  <si>
    <t>TC-CC-002-1</t>
  </si>
  <si>
    <t>条件 total&gt;0 为真</t>
  </si>
  <si>
    <t>TC-CC-002-2</t>
  </si>
  <si>
    <t>条件 total&gt;0 为假</t>
  </si>
  <si>
    <t>TC-CC-003-1</t>
  </si>
  <si>
    <t>sample_input 为 tuple</t>
  </si>
  <si>
    <t>TC-CC-003-2</t>
  </si>
  <si>
    <t>sample_input 为 list</t>
  </si>
  <si>
    <t>TC-CC-003-3</t>
  </si>
  <si>
    <t>sample_input 既非 tuple 也非 list</t>
  </si>
  <si>
    <t>TC-CC-004-1</t>
  </si>
  <si>
    <t>device.type==cuda 为真</t>
  </si>
  <si>
    <t>TC-CC-004-2</t>
  </si>
  <si>
    <t>device.type==cuda 为假</t>
  </si>
  <si>
    <t>TC-CC-004-3</t>
  </si>
  <si>
    <t>device.type!=cuda 为真</t>
  </si>
  <si>
    <t>TC-CC-004-4</t>
  </si>
  <si>
    <t>device.type!=cuda 为假</t>
  </si>
  <si>
    <t>TC-CC-005-1</t>
  </si>
  <si>
    <t>条件 n_normal==0 为真</t>
  </si>
  <si>
    <t>TC-CC-005-2</t>
  </si>
  <si>
    <t>条件 n_normal==0 为假</t>
  </si>
  <si>
    <t>TC-CC-005-3</t>
  </si>
  <si>
    <t>labels==0 真假均覆盖</t>
  </si>
  <si>
    <t>TC-CC-005-4</t>
  </si>
  <si>
    <t>scores&gt;threshold 真假均覆盖</t>
  </si>
  <si>
    <t>TC-CC-006-1</t>
  </si>
  <si>
    <t>复合条件真值表完整覆盖</t>
  </si>
  <si>
    <t>TC-CC-006-1b</t>
  </si>
  <si>
    <t>复合条件真值表 T/F</t>
  </si>
  <si>
    <t>TC-CC-006-1c</t>
  </si>
  <si>
    <t>复合条件真值表 F/T</t>
  </si>
  <si>
    <t>TC-PC-001-1</t>
  </si>
  <si>
    <t>参数统计路径：total&gt;0</t>
  </si>
  <si>
    <t>路径覆盖</t>
  </si>
  <si>
    <t>TC-PC-001-2</t>
  </si>
  <si>
    <t>参数统计路径：total==0</t>
  </si>
  <si>
    <t>TC-PC-002-1</t>
  </si>
  <si>
    <t>显存路径：非 CUDA</t>
  </si>
  <si>
    <t>TC-PC-002-2</t>
  </si>
  <si>
    <t>显存路径：CUDA</t>
  </si>
  <si>
    <t>TC-PC-003-1</t>
  </si>
  <si>
    <t>误报率路径：无正常样本</t>
  </si>
  <si>
    <t>TC-PC-003-2</t>
  </si>
  <si>
    <t>误报率路径：有正常样本</t>
  </si>
  <si>
    <t>TC-PC-004-1</t>
  </si>
  <si>
    <t>时延路径：CPU</t>
  </si>
  <si>
    <t>TC-PC-004-2</t>
  </si>
  <si>
    <t>时延路径：输入类型非法</t>
  </si>
  <si>
    <t>TC-PC-004-3</t>
  </si>
  <si>
    <t>时延路径：CUDA 同步</t>
  </si>
  <si>
    <t>TC-PC-005-1</t>
  </si>
  <si>
    <t>像素蒸馏路径：单层 i=0</t>
  </si>
  <si>
    <t>TC-PC-005-2</t>
  </si>
  <si>
    <t>像素蒸馏路径：单层 i=1</t>
  </si>
  <si>
    <t>TC-PC-005-3</t>
  </si>
  <si>
    <t>像素蒸馏路径：深层 i&gt;=2</t>
  </si>
  <si>
    <t>TC-PC-005-4</t>
  </si>
  <si>
    <t>像素蒸馏路径：多层组合</t>
  </si>
  <si>
    <t>TC-PC-005-5</t>
  </si>
  <si>
    <t>像素蒸馏路径：空列表</t>
  </si>
  <si>
    <t>TC-PC-006-1</t>
  </si>
  <si>
    <t>loss_l2 路径：循环 0 次</t>
  </si>
  <si>
    <t>TC-PC-006-2</t>
  </si>
  <si>
    <t>loss_l2 路径：循环 1 次</t>
  </si>
  <si>
    <t>TC-PC-006-3</t>
  </si>
  <si>
    <t>loss_l2 路径：循环多次</t>
  </si>
  <si>
    <t>TC-PC-007-1</t>
  </si>
  <si>
    <t>组合路径：全 CPU</t>
  </si>
  <si>
    <t>TC-PC-007-2</t>
  </si>
  <si>
    <t>组合路径：全 CUDA</t>
  </si>
  <si>
    <t>TC-PC-007-3</t>
  </si>
  <si>
    <t>组合路径：CPU/CUDA 混合</t>
  </si>
  <si>
    <t>TC-PC-008-1</t>
  </si>
  <si>
    <t>异常路径：断言失败</t>
  </si>
  <si>
    <t>TC-PC-008-2</t>
  </si>
  <si>
    <t>正常路径对比异常路径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</si>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</sst>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m\.dd"/>
    <numFmt numFmtId="177" formatCode="yy\.mm\.dd"/>
  </numFmts>
  <fonts count="11" x14ac:knownFonts="1">
    <font>
      <sz val="12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i/>
      <sz val="11"/>
      <color indexed="10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sz val="10"/>
      <color rgb="FFFF000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4" fillId="0" borderId="0" xfId="0" applyFont="1"/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0" borderId="1" xfId="0" applyFont="1" applyBorder="1"/>
    <xf numFmtId="0" fontId="4" fillId="3" borderId="3" xfId="0" applyFont="1" applyFill="1" applyBorder="1" applyAlignment="1" applyProtection="1">
      <alignment horizontal="centerContinuous"/>
      <protection locked="0"/>
    </xf>
    <xf numFmtId="0" fontId="4" fillId="0" borderId="4" xfId="0" applyFont="1" applyBorder="1"/>
    <xf numFmtId="0" fontId="4" fillId="5" borderId="3" xfId="0" applyFont="1" applyFill="1" applyBorder="1" applyAlignment="1">
      <alignment horizontal="center"/>
    </xf>
    <xf numFmtId="0" fontId="7" fillId="3" borderId="3" xfId="0" applyFont="1" applyFill="1" applyBorder="1" applyAlignment="1" applyProtection="1">
      <alignment horizontal="centerContinuous"/>
      <protection locked="0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Continuous" wrapText="1"/>
    </xf>
    <xf numFmtId="176" fontId="4" fillId="3" borderId="3" xfId="0" applyNumberFormat="1" applyFont="1" applyFill="1" applyBorder="1" applyAlignment="1" applyProtection="1">
      <alignment horizontal="centerContinuous"/>
      <protection locked="0"/>
    </xf>
    <xf numFmtId="49" fontId="4" fillId="3" borderId="3" xfId="0" applyNumberFormat="1" applyFont="1" applyFill="1" applyBorder="1" applyAlignment="1" applyProtection="1">
      <alignment horizontal="centerContinuous"/>
      <protection locked="0"/>
    </xf>
    <xf numFmtId="177" fontId="4" fillId="3" borderId="3" xfId="0" applyNumberFormat="1" applyFont="1" applyFill="1" applyBorder="1" applyAlignment="1" applyProtection="1">
      <alignment horizontal="centerContinuous"/>
      <protection locked="0"/>
    </xf>
    <xf numFmtId="0" fontId="4" fillId="4" borderId="3" xfId="0" applyFont="1" applyFill="1" applyBorder="1" applyAlignment="1">
      <alignment horizontal="center"/>
    </xf>
    <xf numFmtId="0" fontId="4" fillId="3" borderId="5" xfId="0" applyFont="1" applyFill="1" applyBorder="1" applyAlignment="1" applyProtection="1">
      <alignment horizontal="centerContinuous"/>
      <protection locked="0"/>
    </xf>
    <xf numFmtId="0" fontId="4" fillId="3" borderId="6" xfId="0" applyFont="1" applyFill="1" applyBorder="1" applyAlignment="1" applyProtection="1">
      <alignment horizontal="centerContinuous"/>
      <protection locked="0"/>
    </xf>
    <xf numFmtId="176" fontId="4" fillId="3" borderId="6" xfId="0" applyNumberFormat="1" applyFont="1" applyFill="1" applyBorder="1" applyAlignment="1" applyProtection="1">
      <alignment horizontal="centerContinuous"/>
      <protection locked="0"/>
    </xf>
    <xf numFmtId="176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6" borderId="0" xfId="0" applyFont="1" applyFill="1" applyAlignment="1" applyProtection="1">
      <alignment horizontal="centerContinuous"/>
      <protection locked="0"/>
    </xf>
    <xf numFmtId="176" fontId="4" fillId="6" borderId="0" xfId="0" applyNumberFormat="1" applyFont="1" applyFill="1" applyAlignment="1" applyProtection="1">
      <alignment horizontal="centerContinuous"/>
      <protection locked="0"/>
    </xf>
    <xf numFmtId="0" fontId="4" fillId="2" borderId="8" xfId="0" applyFont="1" applyFill="1" applyBorder="1" applyAlignment="1">
      <alignment horizontal="center"/>
    </xf>
    <xf numFmtId="0" fontId="4" fillId="5" borderId="8" xfId="0" applyFont="1" applyFill="1" applyBorder="1"/>
    <xf numFmtId="10" fontId="4" fillId="5" borderId="8" xfId="0" applyNumberFormat="1" applyFont="1" applyFill="1" applyBorder="1"/>
    <xf numFmtId="0" fontId="4" fillId="2" borderId="9" xfId="0" applyFont="1" applyFill="1" applyBorder="1" applyAlignment="1">
      <alignment horizontal="center"/>
    </xf>
    <xf numFmtId="0" fontId="4" fillId="5" borderId="9" xfId="0" applyFont="1" applyFill="1" applyBorder="1"/>
    <xf numFmtId="10" fontId="4" fillId="5" borderId="9" xfId="0" applyNumberFormat="1" applyFont="1" applyFill="1" applyBorder="1"/>
    <xf numFmtId="0" fontId="8" fillId="6" borderId="5" xfId="0" applyFont="1" applyFill="1" applyBorder="1" applyAlignment="1">
      <alignment horizontal="center"/>
    </xf>
    <xf numFmtId="0" fontId="8" fillId="6" borderId="10" xfId="0" applyFont="1" applyFill="1" applyBorder="1"/>
    <xf numFmtId="0" fontId="8" fillId="6" borderId="10" xfId="0" applyFont="1" applyFill="1" applyBorder="1" applyAlignment="1">
      <alignment horizontal="center"/>
    </xf>
    <xf numFmtId="10" fontId="8" fillId="6" borderId="11" xfId="0" applyNumberFormat="1" applyFont="1" applyFill="1" applyBorder="1"/>
    <xf numFmtId="0" fontId="9" fillId="2" borderId="8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3" borderId="8" xfId="0" applyFont="1" applyFill="1" applyBorder="1" applyProtection="1">
      <protection locked="0"/>
    </xf>
    <xf numFmtId="0" fontId="9" fillId="4" borderId="3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wrapText="1"/>
    </xf>
    <xf numFmtId="0" fontId="6" fillId="3" borderId="12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6" fillId="3" borderId="8" xfId="0" applyFont="1" applyFill="1" applyBorder="1" applyAlignment="1" applyProtection="1">
      <alignment vertical="top" wrapText="1"/>
      <protection locked="0"/>
    </xf>
    <xf numFmtId="0" fontId="10" fillId="3" borderId="3" xfId="0" applyFont="1" applyFill="1" applyBorder="1" applyAlignment="1" applyProtection="1">
      <alignment vertical="center" wrapText="1"/>
      <protection locked="0"/>
    </xf>
    <xf numFmtId="0" fontId="4" fillId="5" borderId="2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2" borderId="8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layout>
        <c:manualLayout>
          <c:xMode val="edge"/>
          <c:yMode val="edge"/>
          <c:x val="0.42188894356955381"/>
          <c:y val="3.876091070011596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5E-4709-82B1-28901BC9814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5E-4709-82B1-28901BC9814D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5E-4709-82B1-28901BC9814D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05E-4709-82B1-28901BC9814D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0.93604651162790697</c:v>
                </c:pt>
                <c:pt idx="1">
                  <c:v>0</c:v>
                </c:pt>
                <c:pt idx="2">
                  <c:v>0</c:v>
                </c:pt>
                <c:pt idx="3">
                  <c:v>6.3953488372093026E-2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5E-4709-82B1-28901BC98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61"/>
          <c:w val="0.97919920166229224"/>
          <c:h val="0.74808887261185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43"/>
  <sheetViews>
    <sheetView showGridLines="0" showOutlineSymbols="0" topLeftCell="A7" zoomScale="87" zoomScaleNormal="87" workbookViewId="0">
      <selection activeCell="E38" sqref="E38"/>
    </sheetView>
  </sheetViews>
  <sheetFormatPr defaultColWidth="11.6328125" defaultRowHeight="15.6" x14ac:dyDescent="0.3"/>
  <cols>
    <col min="1" max="1" width="1.6328125" style="4" customWidth="1"/>
    <col min="2" max="13" width="10.6328125" style="4" customWidth="1"/>
    <col min="14" max="15" width="7.6328125" style="4" customWidth="1"/>
    <col min="16" max="16" width="11.6328125" style="4" customWidth="1"/>
    <col min="17" max="16384" width="11.6328125" style="4"/>
  </cols>
  <sheetData>
    <row r="1" spans="2:12" ht="9.9" customHeight="1" x14ac:dyDescent="0.3"/>
    <row r="2" spans="2:12" ht="23.4" customHeight="1" x14ac:dyDescent="0.4">
      <c r="B2" s="5" t="s">
        <v>0</v>
      </c>
      <c r="C2" s="5"/>
      <c r="D2" s="6"/>
      <c r="E2" s="6"/>
      <c r="F2" s="7"/>
      <c r="G2" s="7"/>
      <c r="H2" s="7"/>
      <c r="I2" s="7"/>
      <c r="J2" s="7"/>
      <c r="K2" s="7"/>
    </row>
    <row r="3" spans="2:12" x14ac:dyDescent="0.3">
      <c r="B3" s="6"/>
      <c r="C3" s="6"/>
      <c r="D3" s="6"/>
      <c r="E3" s="7"/>
      <c r="F3" s="7"/>
      <c r="G3" s="7"/>
      <c r="H3" s="7"/>
      <c r="I3" s="7"/>
      <c r="J3" s="7"/>
      <c r="K3" s="7"/>
    </row>
    <row r="4" spans="2:12" x14ac:dyDescent="0.3">
      <c r="B4" s="6"/>
      <c r="C4" s="6"/>
      <c r="D4" s="6"/>
      <c r="E4" s="6"/>
      <c r="F4" s="7"/>
      <c r="G4" s="7"/>
      <c r="H4" s="7"/>
      <c r="I4" s="7"/>
      <c r="J4" s="7"/>
      <c r="K4" s="7"/>
    </row>
    <row r="5" spans="2:12" ht="3.9" customHeight="1" x14ac:dyDescent="0.3"/>
    <row r="6" spans="2:12" ht="16.2" customHeight="1" x14ac:dyDescent="0.3">
      <c r="B6" s="8" t="s">
        <v>1</v>
      </c>
      <c r="C6" s="8"/>
      <c r="D6" s="8"/>
      <c r="E6" s="8"/>
      <c r="F6" s="8"/>
      <c r="G6" s="8"/>
      <c r="H6" s="8"/>
      <c r="I6" s="8"/>
      <c r="J6" s="8"/>
      <c r="K6" s="8"/>
      <c r="L6" s="9"/>
    </row>
    <row r="7" spans="2:12" ht="16.2" customHeight="1" x14ac:dyDescent="0.3">
      <c r="B7" s="8" t="s">
        <v>2</v>
      </c>
      <c r="C7" s="8"/>
      <c r="D7" s="8"/>
      <c r="E7" s="10" t="s">
        <v>3</v>
      </c>
      <c r="F7" s="10"/>
      <c r="G7" s="8" t="s">
        <v>4</v>
      </c>
      <c r="H7" s="8"/>
      <c r="I7" s="8"/>
      <c r="J7" s="10" t="s">
        <v>5</v>
      </c>
      <c r="K7" s="10"/>
      <c r="L7" s="9"/>
    </row>
    <row r="8" spans="2:12" ht="16.2" customHeight="1" x14ac:dyDescent="0.3">
      <c r="B8" s="8" t="s">
        <v>6</v>
      </c>
      <c r="C8" s="8"/>
      <c r="D8" s="8"/>
      <c r="E8" s="10" t="s">
        <v>7</v>
      </c>
      <c r="F8" s="10"/>
      <c r="G8" s="8" t="s">
        <v>8</v>
      </c>
      <c r="H8" s="8"/>
      <c r="I8" s="8"/>
      <c r="J8" s="10" t="s">
        <v>9</v>
      </c>
      <c r="K8" s="10"/>
      <c r="L8" s="9"/>
    </row>
    <row r="9" spans="2:12" ht="16.2" customHeight="1" x14ac:dyDescent="0.3">
      <c r="B9" s="8" t="s">
        <v>10</v>
      </c>
      <c r="C9" s="8"/>
      <c r="D9" s="8"/>
      <c r="E9" s="10"/>
      <c r="F9" s="10"/>
      <c r="G9" s="8" t="s">
        <v>11</v>
      </c>
      <c r="H9" s="8"/>
      <c r="I9" s="8"/>
      <c r="J9" s="10" t="s">
        <v>12</v>
      </c>
      <c r="K9" s="10"/>
      <c r="L9" s="9"/>
    </row>
    <row r="10" spans="2:12" ht="16.2" customHeight="1" x14ac:dyDescent="0.3">
      <c r="B10" s="8" t="s">
        <v>13</v>
      </c>
      <c r="C10" s="8"/>
      <c r="D10" s="8"/>
      <c r="E10" s="10"/>
      <c r="F10" s="10"/>
      <c r="G10" s="8" t="s">
        <v>11</v>
      </c>
      <c r="H10" s="8"/>
      <c r="I10" s="8"/>
      <c r="J10" s="10"/>
      <c r="K10" s="10"/>
      <c r="L10" s="9"/>
    </row>
    <row r="11" spans="2:12" ht="16.2" customHeight="1" x14ac:dyDescent="0.3">
      <c r="B11" s="8" t="s">
        <v>14</v>
      </c>
      <c r="C11" s="8"/>
      <c r="D11" s="8"/>
      <c r="E11" s="10"/>
      <c r="F11" s="10"/>
      <c r="G11" s="8" t="s">
        <v>11</v>
      </c>
      <c r="H11" s="8"/>
      <c r="I11" s="8"/>
      <c r="J11" s="10"/>
      <c r="K11" s="10"/>
      <c r="L11" s="9"/>
    </row>
    <row r="12" spans="2:12" ht="3.9" customHeight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2" ht="16.2" customHeight="1" x14ac:dyDescent="0.3">
      <c r="B13" s="8" t="s">
        <v>15</v>
      </c>
      <c r="C13" s="8"/>
      <c r="D13" s="8"/>
      <c r="E13" s="12">
        <f>COUNTA('Test Cases测试用例'!A2:A500)</f>
        <v>172</v>
      </c>
      <c r="F13" s="9"/>
    </row>
    <row r="14" spans="2:12" ht="3.9" customHeight="1" x14ac:dyDescent="0.3">
      <c r="B14" s="11"/>
      <c r="C14" s="11"/>
      <c r="D14" s="11"/>
      <c r="E14" s="11"/>
    </row>
    <row r="15" spans="2:12" ht="16.2" customHeight="1" x14ac:dyDescent="0.3">
      <c r="B15" s="8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2:12" ht="36" customHeight="1" x14ac:dyDescent="0.3">
      <c r="B16" s="46" t="s">
        <v>17</v>
      </c>
      <c r="C16" s="13"/>
      <c r="D16" s="10"/>
      <c r="E16" s="10"/>
      <c r="F16" s="10"/>
      <c r="G16" s="10"/>
      <c r="H16" s="10"/>
      <c r="I16" s="10"/>
      <c r="J16" s="10"/>
      <c r="K16" s="10"/>
      <c r="L16" s="9"/>
    </row>
    <row r="17" spans="2:12" ht="3.9" customHeight="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2" ht="16.2" customHeight="1" x14ac:dyDescent="0.3"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2:12" ht="48" customHeight="1" x14ac:dyDescent="0.3">
      <c r="B19" s="14" t="s">
        <v>19</v>
      </c>
      <c r="C19" s="14" t="s">
        <v>20</v>
      </c>
      <c r="D19" s="14" t="s">
        <v>21</v>
      </c>
      <c r="E19" s="15" t="s">
        <v>22</v>
      </c>
      <c r="F19" s="15"/>
      <c r="G19" s="15"/>
      <c r="H19" s="15"/>
      <c r="I19" s="15"/>
      <c r="J19" s="15"/>
      <c r="K19" s="14" t="s">
        <v>23</v>
      </c>
      <c r="L19" s="9"/>
    </row>
    <row r="20" spans="2:12" ht="16.2" customHeight="1" x14ac:dyDescent="0.3">
      <c r="B20" s="16" t="s">
        <v>12</v>
      </c>
      <c r="C20" s="17" t="s">
        <v>24</v>
      </c>
      <c r="D20" s="10" t="s">
        <v>25</v>
      </c>
      <c r="E20" s="10" t="s">
        <v>26</v>
      </c>
      <c r="F20" s="10"/>
      <c r="G20" s="10"/>
      <c r="H20" s="10"/>
      <c r="I20" s="10"/>
      <c r="J20" s="10"/>
      <c r="K20" s="10" t="s">
        <v>27</v>
      </c>
      <c r="L20" s="9"/>
    </row>
    <row r="21" spans="2:12" ht="16.2" customHeight="1" x14ac:dyDescent="0.3">
      <c r="B21" s="16"/>
      <c r="C21" s="17"/>
      <c r="D21" s="10"/>
      <c r="E21" s="10"/>
      <c r="F21" s="10"/>
      <c r="G21" s="10"/>
      <c r="H21" s="10"/>
      <c r="I21" s="10"/>
      <c r="J21" s="10"/>
      <c r="K21" s="10"/>
      <c r="L21" s="9"/>
    </row>
    <row r="22" spans="2:12" ht="16.2" customHeight="1" x14ac:dyDescent="0.3">
      <c r="B22" s="16"/>
      <c r="C22" s="17"/>
      <c r="D22" s="10"/>
      <c r="E22" s="10"/>
      <c r="F22" s="10"/>
      <c r="G22" s="10"/>
      <c r="H22" s="10"/>
      <c r="I22" s="10"/>
      <c r="J22" s="10"/>
      <c r="K22" s="10"/>
      <c r="L22" s="9"/>
    </row>
    <row r="23" spans="2:12" ht="16.2" customHeight="1" x14ac:dyDescent="0.3">
      <c r="B23" s="16"/>
      <c r="C23" s="17"/>
      <c r="D23" s="10"/>
      <c r="E23" s="10"/>
      <c r="F23" s="10"/>
      <c r="G23" s="10"/>
      <c r="H23" s="10"/>
      <c r="I23" s="10"/>
      <c r="J23" s="10"/>
      <c r="K23" s="10"/>
      <c r="L23" s="9"/>
    </row>
    <row r="24" spans="2:12" ht="16.2" customHeight="1" x14ac:dyDescent="0.3">
      <c r="B24" s="16"/>
      <c r="C24" s="17"/>
      <c r="D24" s="18"/>
      <c r="E24" s="10"/>
      <c r="F24" s="10"/>
      <c r="G24" s="10"/>
      <c r="H24" s="10"/>
      <c r="I24" s="10"/>
      <c r="J24" s="10"/>
      <c r="K24" s="10"/>
      <c r="L24" s="9"/>
    </row>
    <row r="25" spans="2:12" ht="16.2" customHeight="1" x14ac:dyDescent="0.3">
      <c r="B25" s="16"/>
      <c r="C25" s="17"/>
      <c r="D25" s="10"/>
      <c r="E25" s="10"/>
      <c r="F25" s="10"/>
      <c r="G25" s="10"/>
      <c r="H25" s="10"/>
      <c r="I25" s="10"/>
      <c r="J25" s="10"/>
      <c r="K25" s="10"/>
      <c r="L25" s="9"/>
    </row>
    <row r="26" spans="2:12" ht="3.9" customHeight="1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2" ht="16.2" customHeight="1" x14ac:dyDescent="0.3">
      <c r="B27" s="8" t="s">
        <v>28</v>
      </c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2:12" ht="16.2" customHeight="1" x14ac:dyDescent="0.3">
      <c r="B28" s="19" t="s">
        <v>29</v>
      </c>
      <c r="C28" s="8" t="s">
        <v>30</v>
      </c>
      <c r="D28" s="8"/>
      <c r="E28" s="8"/>
      <c r="F28" s="8"/>
      <c r="G28" s="8"/>
      <c r="H28" s="8"/>
      <c r="I28" s="8"/>
      <c r="J28" s="8" t="s">
        <v>31</v>
      </c>
      <c r="K28" s="8"/>
      <c r="L28" s="9"/>
    </row>
    <row r="29" spans="2:12" x14ac:dyDescent="0.3">
      <c r="B29" s="10">
        <v>1</v>
      </c>
      <c r="C29" s="10" t="s">
        <v>27</v>
      </c>
      <c r="D29" s="10"/>
      <c r="E29" s="10"/>
      <c r="F29" s="10"/>
      <c r="G29" s="10"/>
      <c r="H29" s="10"/>
      <c r="I29" s="10"/>
      <c r="J29" s="16" t="s">
        <v>12</v>
      </c>
      <c r="K29" s="16"/>
      <c r="L29" s="9"/>
    </row>
    <row r="30" spans="2:12" x14ac:dyDescent="0.3">
      <c r="B30" s="10">
        <v>2</v>
      </c>
      <c r="C30" s="10"/>
      <c r="D30" s="10"/>
      <c r="E30" s="10"/>
      <c r="F30" s="10"/>
      <c r="G30" s="10"/>
      <c r="H30" s="10"/>
      <c r="I30" s="10"/>
      <c r="J30" s="16"/>
      <c r="K30" s="16"/>
      <c r="L30" s="9"/>
    </row>
    <row r="31" spans="2:12" x14ac:dyDescent="0.3">
      <c r="B31" s="10">
        <v>3</v>
      </c>
      <c r="C31" s="10"/>
      <c r="D31" s="10"/>
      <c r="E31" s="10"/>
      <c r="F31" s="10"/>
      <c r="G31" s="10"/>
      <c r="H31" s="10"/>
      <c r="I31" s="10"/>
      <c r="J31" s="16"/>
      <c r="K31" s="16"/>
      <c r="L31" s="9"/>
    </row>
    <row r="32" spans="2:12" x14ac:dyDescent="0.3">
      <c r="B32" s="10">
        <v>4</v>
      </c>
      <c r="C32" s="10"/>
      <c r="D32" s="10"/>
      <c r="E32" s="10"/>
      <c r="F32" s="10"/>
      <c r="G32" s="10"/>
      <c r="H32" s="10"/>
      <c r="I32" s="10"/>
      <c r="J32" s="16"/>
      <c r="K32" s="16"/>
      <c r="L32" s="9"/>
    </row>
    <row r="33" spans="2:11" x14ac:dyDescent="0.3">
      <c r="B33" s="20">
        <v>5</v>
      </c>
      <c r="C33" s="21"/>
      <c r="D33" s="21"/>
      <c r="E33" s="21"/>
      <c r="F33" s="21"/>
      <c r="G33" s="21"/>
      <c r="H33" s="21"/>
      <c r="I33" s="21"/>
      <c r="J33" s="22"/>
      <c r="K33" s="23"/>
    </row>
    <row r="34" spans="2:11" x14ac:dyDescent="0.3">
      <c r="B34" s="24"/>
      <c r="C34" s="24"/>
      <c r="D34" s="24"/>
      <c r="E34" s="24"/>
      <c r="F34" s="24"/>
      <c r="G34" s="24"/>
      <c r="H34" s="24"/>
      <c r="I34" s="24"/>
      <c r="J34" s="25"/>
      <c r="K34" s="25"/>
    </row>
    <row r="37" spans="2:11" ht="15" customHeight="1" x14ac:dyDescent="0.3">
      <c r="B37" s="50" t="s">
        <v>32</v>
      </c>
      <c r="C37" s="51"/>
      <c r="D37" s="51"/>
      <c r="E37" s="52"/>
    </row>
    <row r="38" spans="2:11" ht="16.2" customHeight="1" x14ac:dyDescent="0.3">
      <c r="B38" s="26" t="s">
        <v>33</v>
      </c>
      <c r="C38" s="27">
        <f>IF($E$13=0,0,COUNTIF('Test Cases测试用例'!$L:$L,"=OK"))</f>
        <v>161</v>
      </c>
      <c r="D38" s="26" t="s">
        <v>34</v>
      </c>
      <c r="E38" s="28">
        <f>IF(E13=0,0,C38/E13)</f>
        <v>0.93604651162790697</v>
      </c>
    </row>
    <row r="39" spans="2:11" ht="16.2" customHeight="1" x14ac:dyDescent="0.3">
      <c r="B39" s="26" t="s">
        <v>35</v>
      </c>
      <c r="C39" s="27">
        <f>IF($E$13=0,0,COUNTIF('Test Cases测试用例'!$L:$L,"=POK"))</f>
        <v>0</v>
      </c>
      <c r="D39" s="26" t="s">
        <v>36</v>
      </c>
      <c r="E39" s="28">
        <f>IF(E13=0,0,C39/E13)</f>
        <v>0</v>
      </c>
    </row>
    <row r="40" spans="2:11" ht="16.2" customHeight="1" x14ac:dyDescent="0.3">
      <c r="B40" s="26" t="s">
        <v>37</v>
      </c>
      <c r="C40" s="27">
        <f>IF($E$13=0,0,COUNTIF('Test Cases测试用例'!$L:$L,"=NG"))</f>
        <v>0</v>
      </c>
      <c r="D40" s="26" t="s">
        <v>38</v>
      </c>
      <c r="E40" s="28">
        <f>IF(E13=0,0,C40/E13)</f>
        <v>0</v>
      </c>
    </row>
    <row r="41" spans="2:11" ht="16.2" customHeight="1" x14ac:dyDescent="0.3">
      <c r="B41" s="29" t="s">
        <v>39</v>
      </c>
      <c r="C41" s="30">
        <f>IF($E$13=0,0,COUNTIF('Test Cases测试用例'!$L:$L,"=NT"))</f>
        <v>11</v>
      </c>
      <c r="D41" s="29" t="s">
        <v>40</v>
      </c>
      <c r="E41" s="31">
        <f>IF(E13=0,0,C41/E13)</f>
        <v>6.3953488372093026E-2</v>
      </c>
    </row>
    <row r="42" spans="2:11" ht="3" customHeight="1" x14ac:dyDescent="0.3">
      <c r="B42" s="32"/>
      <c r="C42" s="33"/>
      <c r="D42" s="34"/>
      <c r="E42" s="35"/>
    </row>
    <row r="43" spans="2:11" ht="16.2" customHeight="1" x14ac:dyDescent="0.3">
      <c r="B43" s="3" t="s">
        <v>41</v>
      </c>
      <c r="C43" s="47">
        <f>E13</f>
        <v>172</v>
      </c>
      <c r="D43" s="48"/>
      <c r="E43" s="49"/>
    </row>
  </sheetData>
  <mergeCells count="2">
    <mergeCell ref="C43:E43"/>
    <mergeCell ref="B37:E37"/>
  </mergeCells>
  <phoneticPr fontId="2" type="noConversion"/>
  <pageMargins left="0.5" right="0.5" top="0.5" bottom="0.5" header="0" footer="0"/>
  <pageSetup paperSize="9" orientation="portrait" horizont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J173"/>
  <sheetViews>
    <sheetView showGridLines="0" tabSelected="1" zoomScale="85" zoomScaleNormal="85" workbookViewId="0">
      <selection activeCell="L109" sqref="L109"/>
    </sheetView>
  </sheetViews>
  <sheetFormatPr defaultColWidth="11.6328125" defaultRowHeight="15.6" x14ac:dyDescent="0.3"/>
  <cols>
    <col min="1" max="1" width="15.36328125" style="38" customWidth="1"/>
    <col min="2" max="2" width="16.54296875" style="38" customWidth="1"/>
    <col min="3" max="3" width="26.81640625" style="38" customWidth="1"/>
    <col min="4" max="4" width="21" style="38" customWidth="1"/>
    <col min="5" max="5" width="13.90625" style="38" hidden="1" customWidth="1"/>
    <col min="6" max="6" width="8.90625" style="38" hidden="1" customWidth="1"/>
    <col min="7" max="7" width="21.1796875" style="38" customWidth="1"/>
    <col min="8" max="8" width="12.81640625" style="38" customWidth="1"/>
    <col min="9" max="9" width="14.453125" style="38" customWidth="1"/>
    <col min="10" max="10" width="16.453125" style="38" customWidth="1"/>
    <col min="11" max="11" width="11.81640625" style="38" customWidth="1"/>
    <col min="12" max="12" width="11" style="38" customWidth="1"/>
    <col min="13" max="13" width="20.90625" style="38" customWidth="1"/>
    <col min="14" max="14" width="3.453125" style="4" hidden="1" customWidth="1"/>
    <col min="15" max="15" width="11.6328125" style="4" customWidth="1"/>
    <col min="16" max="16384" width="11.6328125" style="4"/>
  </cols>
  <sheetData>
    <row r="1" spans="1:140" ht="48" customHeight="1" x14ac:dyDescent="0.3">
      <c r="A1" s="36" t="s">
        <v>42</v>
      </c>
      <c r="B1" s="36" t="s">
        <v>43</v>
      </c>
      <c r="C1" s="36" t="s">
        <v>44</v>
      </c>
      <c r="D1" s="36" t="s">
        <v>45</v>
      </c>
      <c r="E1" s="44" t="s">
        <v>46</v>
      </c>
      <c r="F1" s="44" t="s">
        <v>47</v>
      </c>
      <c r="G1" s="36" t="s">
        <v>48</v>
      </c>
      <c r="H1" s="36" t="s">
        <v>49</v>
      </c>
      <c r="I1" s="36" t="s">
        <v>50</v>
      </c>
      <c r="J1" s="36" t="s">
        <v>51</v>
      </c>
      <c r="K1" s="36" t="s">
        <v>52</v>
      </c>
      <c r="L1" s="36" t="s">
        <v>53</v>
      </c>
      <c r="M1" s="36" t="s">
        <v>54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</row>
    <row r="2" spans="1:140" ht="48" customHeight="1" x14ac:dyDescent="0.3">
      <c r="A2" s="45" t="s">
        <v>55</v>
      </c>
      <c r="B2" s="45" t="s">
        <v>56</v>
      </c>
      <c r="C2" s="45" t="s">
        <v>57</v>
      </c>
      <c r="D2" s="45" t="s">
        <v>58</v>
      </c>
      <c r="E2" s="45" t="s">
        <v>59</v>
      </c>
      <c r="F2" s="45" t="s">
        <v>60</v>
      </c>
      <c r="G2" s="45" t="s">
        <v>61</v>
      </c>
      <c r="H2" s="45" t="s">
        <v>62</v>
      </c>
      <c r="I2" s="45" t="s">
        <v>63</v>
      </c>
      <c r="J2" s="45" t="s">
        <v>64</v>
      </c>
      <c r="K2" s="45" t="s">
        <v>65</v>
      </c>
      <c r="L2" s="45" t="s">
        <v>65</v>
      </c>
      <c r="M2" s="45" t="s">
        <v>66</v>
      </c>
      <c r="N2" s="4" t="s">
        <v>65</v>
      </c>
    </row>
    <row r="3" spans="1:140" ht="48" customHeight="1" x14ac:dyDescent="0.3">
      <c r="A3" s="45" t="s">
        <v>67</v>
      </c>
      <c r="B3" s="45" t="s">
        <v>56</v>
      </c>
      <c r="C3" s="45" t="s">
        <v>68</v>
      </c>
      <c r="D3" s="45" t="s">
        <v>58</v>
      </c>
      <c r="E3" s="45" t="s">
        <v>59</v>
      </c>
      <c r="F3" s="45" t="s">
        <v>60</v>
      </c>
      <c r="G3" s="45" t="s">
        <v>61</v>
      </c>
      <c r="H3" s="45" t="s">
        <v>62</v>
      </c>
      <c r="I3" s="45" t="s">
        <v>63</v>
      </c>
      <c r="J3" s="45" t="s">
        <v>64</v>
      </c>
      <c r="K3" s="45" t="s">
        <v>65</v>
      </c>
      <c r="L3" s="45" t="s">
        <v>65</v>
      </c>
      <c r="M3" s="45" t="s">
        <v>66</v>
      </c>
      <c r="N3" s="4" t="s">
        <v>69</v>
      </c>
    </row>
    <row r="4" spans="1:140" ht="48" customHeight="1" x14ac:dyDescent="0.3">
      <c r="A4" s="45" t="s">
        <v>70</v>
      </c>
      <c r="B4" s="45" t="s">
        <v>56</v>
      </c>
      <c r="C4" s="45" t="s">
        <v>71</v>
      </c>
      <c r="D4" s="45" t="s">
        <v>58</v>
      </c>
      <c r="E4" s="45" t="s">
        <v>59</v>
      </c>
      <c r="F4" s="45" t="s">
        <v>60</v>
      </c>
      <c r="G4" s="45" t="s">
        <v>61</v>
      </c>
      <c r="H4" s="45" t="s">
        <v>72</v>
      </c>
      <c r="I4" s="45" t="s">
        <v>63</v>
      </c>
      <c r="J4" s="45" t="s">
        <v>64</v>
      </c>
      <c r="K4" s="45" t="s">
        <v>65</v>
      </c>
      <c r="L4" s="45" t="s">
        <v>65</v>
      </c>
      <c r="M4" s="45" t="s">
        <v>66</v>
      </c>
      <c r="N4" s="4" t="s">
        <v>73</v>
      </c>
    </row>
    <row r="5" spans="1:140" ht="48" customHeight="1" x14ac:dyDescent="0.3">
      <c r="A5" s="45" t="s">
        <v>74</v>
      </c>
      <c r="B5" s="45" t="s">
        <v>56</v>
      </c>
      <c r="C5" s="45" t="s">
        <v>75</v>
      </c>
      <c r="D5" s="45" t="s">
        <v>76</v>
      </c>
      <c r="E5" s="45" t="s">
        <v>59</v>
      </c>
      <c r="F5" s="45" t="s">
        <v>60</v>
      </c>
      <c r="G5" s="45" t="s">
        <v>61</v>
      </c>
      <c r="H5" s="45" t="s">
        <v>77</v>
      </c>
      <c r="I5" s="45" t="s">
        <v>63</v>
      </c>
      <c r="J5" s="45" t="s">
        <v>78</v>
      </c>
      <c r="K5" s="45" t="s">
        <v>65</v>
      </c>
      <c r="L5" s="45" t="s">
        <v>65</v>
      </c>
      <c r="M5" s="45" t="s">
        <v>66</v>
      </c>
      <c r="N5" s="4" t="s">
        <v>79</v>
      </c>
    </row>
    <row r="6" spans="1:140" ht="48" customHeight="1" x14ac:dyDescent="0.3">
      <c r="A6" s="45" t="s">
        <v>80</v>
      </c>
      <c r="B6" s="45" t="s">
        <v>56</v>
      </c>
      <c r="C6" s="45" t="s">
        <v>81</v>
      </c>
      <c r="D6" s="45" t="s">
        <v>76</v>
      </c>
      <c r="E6" s="45" t="s">
        <v>59</v>
      </c>
      <c r="F6" s="45" t="s">
        <v>60</v>
      </c>
      <c r="G6" s="45" t="s">
        <v>61</v>
      </c>
      <c r="H6" s="45" t="s">
        <v>82</v>
      </c>
      <c r="I6" s="45" t="s">
        <v>63</v>
      </c>
      <c r="J6" s="45" t="s">
        <v>78</v>
      </c>
      <c r="K6" s="45" t="s">
        <v>65</v>
      </c>
      <c r="L6" s="45" t="s">
        <v>65</v>
      </c>
      <c r="M6" s="45" t="s">
        <v>66</v>
      </c>
    </row>
    <row r="7" spans="1:140" ht="48" customHeight="1" x14ac:dyDescent="0.3">
      <c r="A7" s="45" t="s">
        <v>83</v>
      </c>
      <c r="B7" s="45" t="s">
        <v>56</v>
      </c>
      <c r="C7" s="45" t="s">
        <v>84</v>
      </c>
      <c r="D7" s="45" t="s">
        <v>76</v>
      </c>
      <c r="E7" s="45" t="s">
        <v>59</v>
      </c>
      <c r="F7" s="45" t="s">
        <v>60</v>
      </c>
      <c r="G7" s="45" t="s">
        <v>61</v>
      </c>
      <c r="H7" s="45" t="s">
        <v>85</v>
      </c>
      <c r="I7" s="45" t="s">
        <v>63</v>
      </c>
      <c r="J7" s="45" t="s">
        <v>78</v>
      </c>
      <c r="K7" s="45" t="s">
        <v>65</v>
      </c>
      <c r="L7" s="45" t="s">
        <v>65</v>
      </c>
      <c r="M7" s="45" t="s">
        <v>66</v>
      </c>
    </row>
    <row r="8" spans="1:140" ht="48" customHeight="1" x14ac:dyDescent="0.3">
      <c r="A8" s="45" t="s">
        <v>86</v>
      </c>
      <c r="B8" s="45" t="s">
        <v>56</v>
      </c>
      <c r="C8" s="45" t="s">
        <v>87</v>
      </c>
      <c r="D8" s="45" t="s">
        <v>58</v>
      </c>
      <c r="E8" s="45" t="s">
        <v>59</v>
      </c>
      <c r="F8" s="45" t="s">
        <v>60</v>
      </c>
      <c r="G8" s="45" t="s">
        <v>61</v>
      </c>
      <c r="H8" s="45" t="s">
        <v>62</v>
      </c>
      <c r="I8" s="45" t="s">
        <v>63</v>
      </c>
      <c r="J8" s="45" t="s">
        <v>64</v>
      </c>
      <c r="K8" s="45" t="s">
        <v>65</v>
      </c>
      <c r="L8" s="45" t="s">
        <v>65</v>
      </c>
      <c r="M8" s="45" t="s">
        <v>66</v>
      </c>
    </row>
    <row r="9" spans="1:140" ht="48" customHeight="1" x14ac:dyDescent="0.3">
      <c r="A9" s="45" t="s">
        <v>88</v>
      </c>
      <c r="B9" s="45" t="s">
        <v>56</v>
      </c>
      <c r="C9" s="45" t="s">
        <v>89</v>
      </c>
      <c r="D9" s="45" t="s">
        <v>58</v>
      </c>
      <c r="E9" s="45" t="s">
        <v>59</v>
      </c>
      <c r="F9" s="45" t="s">
        <v>60</v>
      </c>
      <c r="G9" s="45" t="s">
        <v>61</v>
      </c>
      <c r="H9" s="45" t="s">
        <v>90</v>
      </c>
      <c r="I9" s="45" t="s">
        <v>63</v>
      </c>
      <c r="J9" s="45" t="s">
        <v>64</v>
      </c>
      <c r="K9" s="45" t="s">
        <v>65</v>
      </c>
      <c r="L9" s="45" t="s">
        <v>65</v>
      </c>
      <c r="M9" s="45" t="s">
        <v>66</v>
      </c>
    </row>
    <row r="10" spans="1:140" ht="48" customHeight="1" x14ac:dyDescent="0.3">
      <c r="A10" s="45" t="s">
        <v>91</v>
      </c>
      <c r="B10" s="45" t="s">
        <v>56</v>
      </c>
      <c r="C10" s="45" t="s">
        <v>92</v>
      </c>
      <c r="D10" s="45" t="s">
        <v>58</v>
      </c>
      <c r="E10" s="45" t="s">
        <v>59</v>
      </c>
      <c r="F10" s="45" t="s">
        <v>60</v>
      </c>
      <c r="G10" s="45" t="s">
        <v>61</v>
      </c>
      <c r="H10" s="45" t="s">
        <v>93</v>
      </c>
      <c r="I10" s="45" t="s">
        <v>63</v>
      </c>
      <c r="J10" s="45" t="s">
        <v>64</v>
      </c>
      <c r="K10" s="45" t="s">
        <v>65</v>
      </c>
      <c r="L10" s="45" t="s">
        <v>65</v>
      </c>
      <c r="M10" s="45" t="s">
        <v>66</v>
      </c>
    </row>
    <row r="11" spans="1:140" ht="48" customHeight="1" x14ac:dyDescent="0.3">
      <c r="A11" s="45" t="s">
        <v>94</v>
      </c>
      <c r="B11" s="45" t="s">
        <v>56</v>
      </c>
      <c r="C11" s="45" t="s">
        <v>95</v>
      </c>
      <c r="D11" s="45" t="s">
        <v>76</v>
      </c>
      <c r="E11" s="45" t="s">
        <v>59</v>
      </c>
      <c r="F11" s="45" t="s">
        <v>60</v>
      </c>
      <c r="G11" s="45" t="s">
        <v>61</v>
      </c>
      <c r="H11" s="45" t="s">
        <v>96</v>
      </c>
      <c r="I11" s="45" t="s">
        <v>63</v>
      </c>
      <c r="J11" s="45" t="s">
        <v>78</v>
      </c>
      <c r="K11" s="45" t="s">
        <v>65</v>
      </c>
      <c r="L11" s="45" t="s">
        <v>65</v>
      </c>
      <c r="M11" s="45" t="s">
        <v>66</v>
      </c>
    </row>
    <row r="12" spans="1:140" ht="48" customHeight="1" x14ac:dyDescent="0.3">
      <c r="A12" s="45" t="s">
        <v>97</v>
      </c>
      <c r="B12" s="45" t="s">
        <v>56</v>
      </c>
      <c r="C12" s="45" t="s">
        <v>98</v>
      </c>
      <c r="D12" s="45" t="s">
        <v>76</v>
      </c>
      <c r="E12" s="45" t="s">
        <v>59</v>
      </c>
      <c r="F12" s="45" t="s">
        <v>60</v>
      </c>
      <c r="G12" s="45" t="s">
        <v>61</v>
      </c>
      <c r="H12" s="45" t="s">
        <v>99</v>
      </c>
      <c r="I12" s="45" t="s">
        <v>63</v>
      </c>
      <c r="J12" s="45" t="s">
        <v>78</v>
      </c>
      <c r="K12" s="45" t="s">
        <v>65</v>
      </c>
      <c r="L12" s="45" t="s">
        <v>65</v>
      </c>
      <c r="M12" s="45" t="s">
        <v>66</v>
      </c>
    </row>
    <row r="13" spans="1:140" ht="48" customHeight="1" x14ac:dyDescent="0.3">
      <c r="A13" s="45" t="s">
        <v>100</v>
      </c>
      <c r="B13" s="45" t="s">
        <v>56</v>
      </c>
      <c r="C13" s="45" t="s">
        <v>101</v>
      </c>
      <c r="D13" s="45" t="s">
        <v>58</v>
      </c>
      <c r="E13" s="45" t="s">
        <v>59</v>
      </c>
      <c r="F13" s="45" t="s">
        <v>60</v>
      </c>
      <c r="G13" s="45" t="s">
        <v>61</v>
      </c>
      <c r="H13" s="45" t="s">
        <v>62</v>
      </c>
      <c r="I13" s="45" t="s">
        <v>63</v>
      </c>
      <c r="J13" s="45" t="s">
        <v>64</v>
      </c>
      <c r="K13" s="45" t="s">
        <v>65</v>
      </c>
      <c r="L13" s="45" t="s">
        <v>65</v>
      </c>
      <c r="M13" s="45" t="s">
        <v>66</v>
      </c>
    </row>
    <row r="14" spans="1:140" ht="48" customHeight="1" x14ac:dyDescent="0.3">
      <c r="A14" s="45" t="s">
        <v>102</v>
      </c>
      <c r="B14" s="45" t="s">
        <v>56</v>
      </c>
      <c r="C14" s="45" t="s">
        <v>103</v>
      </c>
      <c r="D14" s="45" t="s">
        <v>58</v>
      </c>
      <c r="E14" s="45" t="s">
        <v>59</v>
      </c>
      <c r="F14" s="45" t="s">
        <v>60</v>
      </c>
      <c r="G14" s="45" t="s">
        <v>61</v>
      </c>
      <c r="H14" s="45" t="s">
        <v>104</v>
      </c>
      <c r="I14" s="45" t="s">
        <v>63</v>
      </c>
      <c r="J14" s="45" t="s">
        <v>64</v>
      </c>
      <c r="K14" s="45" t="s">
        <v>65</v>
      </c>
      <c r="L14" s="45" t="s">
        <v>65</v>
      </c>
      <c r="M14" s="45" t="s">
        <v>66</v>
      </c>
    </row>
    <row r="15" spans="1:140" ht="48" customHeight="1" x14ac:dyDescent="0.3">
      <c r="A15" s="45" t="s">
        <v>105</v>
      </c>
      <c r="B15" s="45" t="s">
        <v>56</v>
      </c>
      <c r="C15" s="45" t="s">
        <v>106</v>
      </c>
      <c r="D15" s="45" t="s">
        <v>76</v>
      </c>
      <c r="E15" s="45" t="s">
        <v>59</v>
      </c>
      <c r="F15" s="45" t="s">
        <v>60</v>
      </c>
      <c r="G15" s="45" t="s">
        <v>61</v>
      </c>
      <c r="H15" s="45" t="s">
        <v>107</v>
      </c>
      <c r="I15" s="45" t="s">
        <v>63</v>
      </c>
      <c r="J15" s="45" t="s">
        <v>78</v>
      </c>
      <c r="K15" s="45" t="s">
        <v>65</v>
      </c>
      <c r="L15" s="45" t="s">
        <v>65</v>
      </c>
      <c r="M15" s="45" t="s">
        <v>66</v>
      </c>
    </row>
    <row r="16" spans="1:140" ht="48" customHeight="1" x14ac:dyDescent="0.3">
      <c r="A16" s="45" t="s">
        <v>108</v>
      </c>
      <c r="B16" s="45" t="s">
        <v>56</v>
      </c>
      <c r="C16" s="45" t="s">
        <v>109</v>
      </c>
      <c r="D16" s="45" t="s">
        <v>76</v>
      </c>
      <c r="E16" s="45" t="s">
        <v>59</v>
      </c>
      <c r="F16" s="45" t="s">
        <v>60</v>
      </c>
      <c r="G16" s="45" t="s">
        <v>61</v>
      </c>
      <c r="H16" s="45" t="s">
        <v>110</v>
      </c>
      <c r="I16" s="45" t="s">
        <v>63</v>
      </c>
      <c r="J16" s="45" t="s">
        <v>78</v>
      </c>
      <c r="K16" s="45" t="s">
        <v>65</v>
      </c>
      <c r="L16" s="45" t="s">
        <v>65</v>
      </c>
      <c r="M16" s="45" t="s">
        <v>66</v>
      </c>
    </row>
    <row r="17" spans="1:13" ht="48" customHeight="1" x14ac:dyDescent="0.3">
      <c r="A17" s="45" t="s">
        <v>111</v>
      </c>
      <c r="B17" s="45" t="s">
        <v>56</v>
      </c>
      <c r="C17" s="45" t="s">
        <v>112</v>
      </c>
      <c r="D17" s="45" t="s">
        <v>58</v>
      </c>
      <c r="E17" s="45" t="s">
        <v>59</v>
      </c>
      <c r="F17" s="45" t="s">
        <v>60</v>
      </c>
      <c r="G17" s="45" t="s">
        <v>61</v>
      </c>
      <c r="H17" s="45" t="s">
        <v>113</v>
      </c>
      <c r="I17" s="45" t="s">
        <v>63</v>
      </c>
      <c r="J17" s="45" t="s">
        <v>64</v>
      </c>
      <c r="K17" s="45" t="s">
        <v>65</v>
      </c>
      <c r="L17" s="45" t="s">
        <v>65</v>
      </c>
      <c r="M17" s="45" t="s">
        <v>66</v>
      </c>
    </row>
    <row r="18" spans="1:13" ht="48" customHeight="1" x14ac:dyDescent="0.3">
      <c r="A18" s="45" t="s">
        <v>114</v>
      </c>
      <c r="B18" s="45" t="s">
        <v>56</v>
      </c>
      <c r="C18" s="45" t="s">
        <v>115</v>
      </c>
      <c r="D18" s="45" t="s">
        <v>58</v>
      </c>
      <c r="E18" s="45" t="s">
        <v>59</v>
      </c>
      <c r="F18" s="45" t="s">
        <v>60</v>
      </c>
      <c r="G18" s="45" t="s">
        <v>61</v>
      </c>
      <c r="H18" s="45" t="s">
        <v>116</v>
      </c>
      <c r="I18" s="45" t="s">
        <v>63</v>
      </c>
      <c r="J18" s="45" t="s">
        <v>64</v>
      </c>
      <c r="K18" s="45" t="s">
        <v>65</v>
      </c>
      <c r="L18" s="45" t="s">
        <v>65</v>
      </c>
      <c r="M18" s="45" t="s">
        <v>66</v>
      </c>
    </row>
    <row r="19" spans="1:13" ht="48" customHeight="1" x14ac:dyDescent="0.3">
      <c r="A19" s="45" t="s">
        <v>117</v>
      </c>
      <c r="B19" s="45" t="s">
        <v>56</v>
      </c>
      <c r="C19" s="45" t="s">
        <v>118</v>
      </c>
      <c r="D19" s="45" t="s">
        <v>58</v>
      </c>
      <c r="E19" s="45" t="s">
        <v>59</v>
      </c>
      <c r="F19" s="45" t="s">
        <v>60</v>
      </c>
      <c r="G19" s="45" t="s">
        <v>61</v>
      </c>
      <c r="H19" s="45" t="s">
        <v>119</v>
      </c>
      <c r="I19" s="45" t="s">
        <v>63</v>
      </c>
      <c r="J19" s="45" t="s">
        <v>64</v>
      </c>
      <c r="K19" s="45" t="s">
        <v>65</v>
      </c>
      <c r="L19" s="45" t="s">
        <v>65</v>
      </c>
      <c r="M19" s="45" t="s">
        <v>66</v>
      </c>
    </row>
    <row r="20" spans="1:13" ht="48" customHeight="1" x14ac:dyDescent="0.3">
      <c r="A20" s="45" t="s">
        <v>120</v>
      </c>
      <c r="B20" s="45" t="s">
        <v>56</v>
      </c>
      <c r="C20" s="45" t="s">
        <v>121</v>
      </c>
      <c r="D20" s="45" t="s">
        <v>76</v>
      </c>
      <c r="E20" s="45" t="s">
        <v>59</v>
      </c>
      <c r="F20" s="45" t="s">
        <v>60</v>
      </c>
      <c r="G20" s="45" t="s">
        <v>61</v>
      </c>
      <c r="H20" s="45" t="s">
        <v>122</v>
      </c>
      <c r="I20" s="45" t="s">
        <v>63</v>
      </c>
      <c r="J20" s="45" t="s">
        <v>78</v>
      </c>
      <c r="K20" s="45" t="s">
        <v>65</v>
      </c>
      <c r="L20" s="45" t="s">
        <v>65</v>
      </c>
      <c r="M20" s="45" t="s">
        <v>66</v>
      </c>
    </row>
    <row r="21" spans="1:13" ht="48" customHeight="1" x14ac:dyDescent="0.3">
      <c r="A21" s="45" t="s">
        <v>123</v>
      </c>
      <c r="B21" s="45" t="s">
        <v>56</v>
      </c>
      <c r="C21" s="45" t="s">
        <v>124</v>
      </c>
      <c r="D21" s="45" t="s">
        <v>58</v>
      </c>
      <c r="E21" s="45" t="s">
        <v>59</v>
      </c>
      <c r="F21" s="45" t="s">
        <v>60</v>
      </c>
      <c r="G21" s="45" t="s">
        <v>61</v>
      </c>
      <c r="H21" s="45" t="s">
        <v>125</v>
      </c>
      <c r="I21" s="45" t="s">
        <v>63</v>
      </c>
      <c r="J21" s="45" t="s">
        <v>64</v>
      </c>
      <c r="K21" s="45" t="s">
        <v>65</v>
      </c>
      <c r="L21" s="45" t="s">
        <v>65</v>
      </c>
      <c r="M21" s="45" t="s">
        <v>66</v>
      </c>
    </row>
    <row r="22" spans="1:13" ht="48" customHeight="1" x14ac:dyDescent="0.3">
      <c r="A22" s="45" t="s">
        <v>126</v>
      </c>
      <c r="B22" s="45" t="s">
        <v>56</v>
      </c>
      <c r="C22" s="45" t="s">
        <v>127</v>
      </c>
      <c r="D22" s="45" t="s">
        <v>58</v>
      </c>
      <c r="E22" s="45" t="s">
        <v>59</v>
      </c>
      <c r="F22" s="45" t="s">
        <v>60</v>
      </c>
      <c r="G22" s="45" t="s">
        <v>61</v>
      </c>
      <c r="H22" s="45" t="s">
        <v>128</v>
      </c>
      <c r="I22" s="45" t="s">
        <v>63</v>
      </c>
      <c r="J22" s="45" t="s">
        <v>64</v>
      </c>
      <c r="K22" s="45" t="s">
        <v>65</v>
      </c>
      <c r="L22" s="45" t="s">
        <v>65</v>
      </c>
      <c r="M22" s="45" t="s">
        <v>66</v>
      </c>
    </row>
    <row r="23" spans="1:13" ht="48" customHeight="1" x14ac:dyDescent="0.3">
      <c r="A23" s="45" t="s">
        <v>129</v>
      </c>
      <c r="B23" s="45" t="s">
        <v>56</v>
      </c>
      <c r="C23" s="45" t="s">
        <v>130</v>
      </c>
      <c r="D23" s="45" t="s">
        <v>76</v>
      </c>
      <c r="E23" s="45" t="s">
        <v>59</v>
      </c>
      <c r="F23" s="45" t="s">
        <v>60</v>
      </c>
      <c r="G23" s="45" t="s">
        <v>61</v>
      </c>
      <c r="H23" s="45" t="s">
        <v>131</v>
      </c>
      <c r="I23" s="45" t="s">
        <v>63</v>
      </c>
      <c r="J23" s="45" t="s">
        <v>64</v>
      </c>
      <c r="K23" s="45" t="s">
        <v>65</v>
      </c>
      <c r="L23" s="45" t="s">
        <v>65</v>
      </c>
      <c r="M23" s="45" t="s">
        <v>66</v>
      </c>
    </row>
    <row r="24" spans="1:13" ht="48" customHeight="1" x14ac:dyDescent="0.3">
      <c r="A24" s="45" t="s">
        <v>132</v>
      </c>
      <c r="B24" s="45" t="s">
        <v>56</v>
      </c>
      <c r="C24" s="45" t="s">
        <v>133</v>
      </c>
      <c r="D24" s="45" t="s">
        <v>76</v>
      </c>
      <c r="E24" s="45" t="s">
        <v>59</v>
      </c>
      <c r="F24" s="45" t="s">
        <v>60</v>
      </c>
      <c r="G24" s="45" t="s">
        <v>61</v>
      </c>
      <c r="H24" s="45" t="s">
        <v>134</v>
      </c>
      <c r="I24" s="45" t="s">
        <v>63</v>
      </c>
      <c r="J24" s="45" t="s">
        <v>78</v>
      </c>
      <c r="K24" s="45" t="s">
        <v>65</v>
      </c>
      <c r="L24" s="45" t="s">
        <v>65</v>
      </c>
      <c r="M24" s="45" t="s">
        <v>66</v>
      </c>
    </row>
    <row r="25" spans="1:13" ht="48" customHeight="1" x14ac:dyDescent="0.3">
      <c r="A25" s="45" t="s">
        <v>135</v>
      </c>
      <c r="B25" s="45" t="s">
        <v>56</v>
      </c>
      <c r="C25" s="45" t="s">
        <v>136</v>
      </c>
      <c r="D25" s="45" t="s">
        <v>76</v>
      </c>
      <c r="E25" s="45" t="s">
        <v>59</v>
      </c>
      <c r="F25" s="45" t="s">
        <v>60</v>
      </c>
      <c r="G25" s="45" t="s">
        <v>61</v>
      </c>
      <c r="H25" s="45" t="s">
        <v>137</v>
      </c>
      <c r="I25" s="45" t="s">
        <v>63</v>
      </c>
      <c r="J25" s="45" t="s">
        <v>78</v>
      </c>
      <c r="K25" s="45" t="s">
        <v>65</v>
      </c>
      <c r="L25" s="45" t="s">
        <v>65</v>
      </c>
      <c r="M25" s="45" t="s">
        <v>66</v>
      </c>
    </row>
    <row r="26" spans="1:13" ht="48" customHeight="1" x14ac:dyDescent="0.3">
      <c r="A26" s="45" t="s">
        <v>138</v>
      </c>
      <c r="B26" s="45" t="s">
        <v>56</v>
      </c>
      <c r="C26" s="45" t="s">
        <v>139</v>
      </c>
      <c r="D26" s="45" t="s">
        <v>58</v>
      </c>
      <c r="E26" s="45" t="s">
        <v>59</v>
      </c>
      <c r="F26" s="45" t="s">
        <v>60</v>
      </c>
      <c r="G26" s="45" t="s">
        <v>61</v>
      </c>
      <c r="H26" s="45" t="s">
        <v>140</v>
      </c>
      <c r="I26" s="45" t="s">
        <v>63</v>
      </c>
      <c r="J26" s="45" t="s">
        <v>64</v>
      </c>
      <c r="K26" s="45" t="s">
        <v>65</v>
      </c>
      <c r="L26" s="45" t="s">
        <v>65</v>
      </c>
      <c r="M26" s="45" t="s">
        <v>66</v>
      </c>
    </row>
    <row r="27" spans="1:13" ht="48" customHeight="1" x14ac:dyDescent="0.3">
      <c r="A27" s="45" t="s">
        <v>141</v>
      </c>
      <c r="B27" s="45" t="s">
        <v>56</v>
      </c>
      <c r="C27" s="45" t="s">
        <v>142</v>
      </c>
      <c r="D27" s="45" t="s">
        <v>143</v>
      </c>
      <c r="E27" s="45" t="s">
        <v>59</v>
      </c>
      <c r="F27" s="45" t="s">
        <v>60</v>
      </c>
      <c r="G27" s="45" t="s">
        <v>61</v>
      </c>
      <c r="H27" s="45" t="s">
        <v>144</v>
      </c>
      <c r="I27" s="45" t="s">
        <v>63</v>
      </c>
      <c r="J27" s="45" t="s">
        <v>78</v>
      </c>
      <c r="K27" s="45" t="s">
        <v>65</v>
      </c>
      <c r="L27" s="45" t="s">
        <v>65</v>
      </c>
      <c r="M27" s="45" t="s">
        <v>66</v>
      </c>
    </row>
    <row r="28" spans="1:13" ht="48" customHeight="1" x14ac:dyDescent="0.3">
      <c r="A28" s="45" t="s">
        <v>145</v>
      </c>
      <c r="B28" s="45" t="s">
        <v>56</v>
      </c>
      <c r="C28" s="45" t="s">
        <v>146</v>
      </c>
      <c r="D28" s="45" t="s">
        <v>143</v>
      </c>
      <c r="E28" s="45" t="s">
        <v>59</v>
      </c>
      <c r="F28" s="45" t="s">
        <v>60</v>
      </c>
      <c r="G28" s="45" t="s">
        <v>61</v>
      </c>
      <c r="H28" s="45" t="s">
        <v>147</v>
      </c>
      <c r="I28" s="45" t="s">
        <v>63</v>
      </c>
      <c r="J28" s="45" t="s">
        <v>78</v>
      </c>
      <c r="K28" s="45" t="s">
        <v>65</v>
      </c>
      <c r="L28" s="45" t="s">
        <v>65</v>
      </c>
      <c r="M28" s="45" t="s">
        <v>66</v>
      </c>
    </row>
    <row r="29" spans="1:13" ht="48" customHeight="1" x14ac:dyDescent="0.3">
      <c r="A29" s="45" t="s">
        <v>148</v>
      </c>
      <c r="B29" s="45" t="s">
        <v>56</v>
      </c>
      <c r="C29" s="45" t="s">
        <v>149</v>
      </c>
      <c r="D29" s="45" t="s">
        <v>58</v>
      </c>
      <c r="E29" s="45" t="s">
        <v>59</v>
      </c>
      <c r="F29" s="45" t="s">
        <v>60</v>
      </c>
      <c r="G29" s="45" t="s">
        <v>61</v>
      </c>
      <c r="H29" s="45" t="s">
        <v>150</v>
      </c>
      <c r="I29" s="45" t="s">
        <v>63</v>
      </c>
      <c r="J29" s="45" t="s">
        <v>64</v>
      </c>
      <c r="K29" s="45" t="s">
        <v>65</v>
      </c>
      <c r="L29" s="45" t="s">
        <v>65</v>
      </c>
      <c r="M29" s="45" t="s">
        <v>151</v>
      </c>
    </row>
    <row r="30" spans="1:13" ht="48" customHeight="1" x14ac:dyDescent="0.3">
      <c r="A30" s="45" t="s">
        <v>152</v>
      </c>
      <c r="B30" s="45" t="s">
        <v>56</v>
      </c>
      <c r="C30" s="45" t="s">
        <v>153</v>
      </c>
      <c r="D30" s="45" t="s">
        <v>58</v>
      </c>
      <c r="E30" s="45" t="s">
        <v>59</v>
      </c>
      <c r="F30" s="45" t="s">
        <v>60</v>
      </c>
      <c r="G30" s="45" t="s">
        <v>61</v>
      </c>
      <c r="H30" s="45" t="s">
        <v>154</v>
      </c>
      <c r="I30" s="45" t="s">
        <v>63</v>
      </c>
      <c r="J30" s="45" t="s">
        <v>64</v>
      </c>
      <c r="K30" s="45" t="s">
        <v>65</v>
      </c>
      <c r="L30" s="45" t="s">
        <v>65</v>
      </c>
      <c r="M30" s="45" t="s">
        <v>151</v>
      </c>
    </row>
    <row r="31" spans="1:13" ht="48" customHeight="1" x14ac:dyDescent="0.3">
      <c r="A31" s="45" t="s">
        <v>155</v>
      </c>
      <c r="B31" s="45" t="s">
        <v>56</v>
      </c>
      <c r="C31" s="45" t="s">
        <v>156</v>
      </c>
      <c r="D31" s="45" t="s">
        <v>58</v>
      </c>
      <c r="E31" s="45" t="s">
        <v>59</v>
      </c>
      <c r="F31" s="45" t="s">
        <v>60</v>
      </c>
      <c r="G31" s="45" t="s">
        <v>61</v>
      </c>
      <c r="H31" s="45" t="s">
        <v>157</v>
      </c>
      <c r="I31" s="45" t="s">
        <v>63</v>
      </c>
      <c r="J31" s="45" t="s">
        <v>64</v>
      </c>
      <c r="K31" s="45" t="s">
        <v>65</v>
      </c>
      <c r="L31" s="45" t="s">
        <v>65</v>
      </c>
      <c r="M31" s="45" t="s">
        <v>151</v>
      </c>
    </row>
    <row r="32" spans="1:13" ht="48" customHeight="1" x14ac:dyDescent="0.3">
      <c r="A32" s="45" t="s">
        <v>158</v>
      </c>
      <c r="B32" s="45" t="s">
        <v>56</v>
      </c>
      <c r="C32" s="45" t="s">
        <v>159</v>
      </c>
      <c r="D32" s="45" t="s">
        <v>58</v>
      </c>
      <c r="E32" s="45" t="s">
        <v>59</v>
      </c>
      <c r="F32" s="45" t="s">
        <v>60</v>
      </c>
      <c r="G32" s="45" t="s">
        <v>61</v>
      </c>
      <c r="H32" s="45" t="s">
        <v>160</v>
      </c>
      <c r="I32" s="45" t="s">
        <v>63</v>
      </c>
      <c r="J32" s="45" t="s">
        <v>64</v>
      </c>
      <c r="K32" s="45" t="s">
        <v>65</v>
      </c>
      <c r="L32" s="45" t="s">
        <v>65</v>
      </c>
      <c r="M32" s="45" t="s">
        <v>151</v>
      </c>
    </row>
    <row r="33" spans="1:13" ht="48" customHeight="1" x14ac:dyDescent="0.3">
      <c r="A33" s="45" t="s">
        <v>161</v>
      </c>
      <c r="B33" s="45" t="s">
        <v>56</v>
      </c>
      <c r="C33" s="45" t="s">
        <v>162</v>
      </c>
      <c r="D33" s="45" t="s">
        <v>76</v>
      </c>
      <c r="E33" s="45" t="s">
        <v>59</v>
      </c>
      <c r="F33" s="45" t="s">
        <v>60</v>
      </c>
      <c r="G33" s="45" t="s">
        <v>61</v>
      </c>
      <c r="H33" s="45" t="s">
        <v>107</v>
      </c>
      <c r="I33" s="45" t="s">
        <v>63</v>
      </c>
      <c r="J33" s="45" t="s">
        <v>78</v>
      </c>
      <c r="K33" s="45" t="s">
        <v>65</v>
      </c>
      <c r="L33" s="45" t="s">
        <v>65</v>
      </c>
      <c r="M33" s="45" t="s">
        <v>151</v>
      </c>
    </row>
    <row r="34" spans="1:13" ht="48" customHeight="1" x14ac:dyDescent="0.3">
      <c r="A34" s="45" t="s">
        <v>163</v>
      </c>
      <c r="B34" s="45" t="s">
        <v>56</v>
      </c>
      <c r="C34" s="45" t="s">
        <v>164</v>
      </c>
      <c r="D34" s="45" t="s">
        <v>76</v>
      </c>
      <c r="E34" s="45" t="s">
        <v>59</v>
      </c>
      <c r="F34" s="45" t="s">
        <v>60</v>
      </c>
      <c r="G34" s="45" t="s">
        <v>61</v>
      </c>
      <c r="H34" s="45" t="s">
        <v>110</v>
      </c>
      <c r="I34" s="45" t="s">
        <v>63</v>
      </c>
      <c r="J34" s="45" t="s">
        <v>78</v>
      </c>
      <c r="K34" s="45" t="s">
        <v>65</v>
      </c>
      <c r="L34" s="45" t="s">
        <v>65</v>
      </c>
      <c r="M34" s="45" t="s">
        <v>151</v>
      </c>
    </row>
    <row r="35" spans="1:13" ht="48" customHeight="1" x14ac:dyDescent="0.3">
      <c r="A35" s="45" t="s">
        <v>165</v>
      </c>
      <c r="B35" s="45" t="s">
        <v>56</v>
      </c>
      <c r="C35" s="45" t="s">
        <v>166</v>
      </c>
      <c r="D35" s="45" t="s">
        <v>58</v>
      </c>
      <c r="E35" s="45" t="s">
        <v>59</v>
      </c>
      <c r="F35" s="45" t="s">
        <v>60</v>
      </c>
      <c r="G35" s="45" t="s">
        <v>61</v>
      </c>
      <c r="H35" s="45" t="s">
        <v>167</v>
      </c>
      <c r="I35" s="45" t="s">
        <v>63</v>
      </c>
      <c r="J35" s="45" t="s">
        <v>64</v>
      </c>
      <c r="K35" s="45" t="s">
        <v>65</v>
      </c>
      <c r="L35" s="45" t="s">
        <v>65</v>
      </c>
      <c r="M35" s="45" t="s">
        <v>151</v>
      </c>
    </row>
    <row r="36" spans="1:13" ht="48" customHeight="1" x14ac:dyDescent="0.3">
      <c r="A36" s="45" t="s">
        <v>168</v>
      </c>
      <c r="B36" s="45" t="s">
        <v>56</v>
      </c>
      <c r="C36" s="45" t="s">
        <v>169</v>
      </c>
      <c r="D36" s="45" t="s">
        <v>58</v>
      </c>
      <c r="E36" s="45" t="s">
        <v>59</v>
      </c>
      <c r="F36" s="45" t="s">
        <v>60</v>
      </c>
      <c r="G36" s="45" t="s">
        <v>61</v>
      </c>
      <c r="H36" s="45" t="s">
        <v>62</v>
      </c>
      <c r="I36" s="45" t="s">
        <v>63</v>
      </c>
      <c r="J36" s="45" t="s">
        <v>64</v>
      </c>
      <c r="K36" s="45" t="s">
        <v>65</v>
      </c>
      <c r="L36" s="45" t="s">
        <v>65</v>
      </c>
      <c r="M36" s="45" t="s">
        <v>151</v>
      </c>
    </row>
    <row r="37" spans="1:13" ht="48" customHeight="1" x14ac:dyDescent="0.3">
      <c r="A37" s="45" t="s">
        <v>170</v>
      </c>
      <c r="B37" s="45" t="s">
        <v>56</v>
      </c>
      <c r="C37" s="45" t="s">
        <v>171</v>
      </c>
      <c r="D37" s="45" t="s">
        <v>76</v>
      </c>
      <c r="E37" s="45" t="s">
        <v>59</v>
      </c>
      <c r="F37" s="45" t="s">
        <v>60</v>
      </c>
      <c r="G37" s="45" t="s">
        <v>61</v>
      </c>
      <c r="H37" s="45" t="s">
        <v>172</v>
      </c>
      <c r="I37" s="45" t="s">
        <v>63</v>
      </c>
      <c r="J37" s="45" t="s">
        <v>78</v>
      </c>
      <c r="K37" s="45" t="s">
        <v>65</v>
      </c>
      <c r="L37" s="45" t="s">
        <v>65</v>
      </c>
      <c r="M37" s="45" t="s">
        <v>151</v>
      </c>
    </row>
    <row r="38" spans="1:13" ht="48" customHeight="1" x14ac:dyDescent="0.3">
      <c r="A38" s="45" t="s">
        <v>173</v>
      </c>
      <c r="B38" s="45" t="s">
        <v>56</v>
      </c>
      <c r="C38" s="45" t="s">
        <v>174</v>
      </c>
      <c r="D38" s="45" t="s">
        <v>58</v>
      </c>
      <c r="E38" s="45" t="s">
        <v>59</v>
      </c>
      <c r="F38" s="45" t="s">
        <v>60</v>
      </c>
      <c r="G38" s="45" t="s">
        <v>61</v>
      </c>
      <c r="H38" s="45" t="s">
        <v>175</v>
      </c>
      <c r="I38" s="45" t="s">
        <v>63</v>
      </c>
      <c r="J38" s="45" t="s">
        <v>64</v>
      </c>
      <c r="K38" s="45" t="s">
        <v>65</v>
      </c>
      <c r="L38" s="45" t="s">
        <v>65</v>
      </c>
      <c r="M38" s="45" t="s">
        <v>151</v>
      </c>
    </row>
    <row r="39" spans="1:13" ht="48" customHeight="1" x14ac:dyDescent="0.3">
      <c r="A39" s="45" t="s">
        <v>176</v>
      </c>
      <c r="B39" s="45" t="s">
        <v>56</v>
      </c>
      <c r="C39" s="45" t="s">
        <v>142</v>
      </c>
      <c r="D39" s="45" t="s">
        <v>143</v>
      </c>
      <c r="E39" s="45" t="s">
        <v>59</v>
      </c>
      <c r="F39" s="45" t="s">
        <v>60</v>
      </c>
      <c r="G39" s="45" t="s">
        <v>61</v>
      </c>
      <c r="H39" s="45" t="s">
        <v>144</v>
      </c>
      <c r="I39" s="45" t="s">
        <v>63</v>
      </c>
      <c r="J39" s="45" t="s">
        <v>78</v>
      </c>
      <c r="K39" s="45" t="s">
        <v>65</v>
      </c>
      <c r="L39" s="45" t="s">
        <v>65</v>
      </c>
      <c r="M39" s="45" t="s">
        <v>151</v>
      </c>
    </row>
    <row r="40" spans="1:13" ht="48" customHeight="1" x14ac:dyDescent="0.3">
      <c r="A40" s="45" t="s">
        <v>177</v>
      </c>
      <c r="B40" s="45" t="s">
        <v>56</v>
      </c>
      <c r="C40" s="45" t="s">
        <v>146</v>
      </c>
      <c r="D40" s="45" t="s">
        <v>143</v>
      </c>
      <c r="E40" s="45" t="s">
        <v>59</v>
      </c>
      <c r="F40" s="45" t="s">
        <v>60</v>
      </c>
      <c r="G40" s="45" t="s">
        <v>61</v>
      </c>
      <c r="H40" s="45" t="s">
        <v>147</v>
      </c>
      <c r="I40" s="45" t="s">
        <v>63</v>
      </c>
      <c r="J40" s="45" t="s">
        <v>78</v>
      </c>
      <c r="K40" s="45" t="s">
        <v>65</v>
      </c>
      <c r="L40" s="45" t="s">
        <v>65</v>
      </c>
      <c r="M40" s="45" t="s">
        <v>151</v>
      </c>
    </row>
    <row r="41" spans="1:13" ht="48" customHeight="1" x14ac:dyDescent="0.3">
      <c r="A41" s="45" t="s">
        <v>178</v>
      </c>
      <c r="B41" s="45" t="s">
        <v>56</v>
      </c>
      <c r="C41" s="45" t="s">
        <v>179</v>
      </c>
      <c r="D41" s="45" t="s">
        <v>58</v>
      </c>
      <c r="E41" s="45" t="s">
        <v>59</v>
      </c>
      <c r="F41" s="45" t="s">
        <v>60</v>
      </c>
      <c r="G41" s="45" t="s">
        <v>61</v>
      </c>
      <c r="H41" s="45" t="s">
        <v>180</v>
      </c>
      <c r="I41" s="45" t="s">
        <v>63</v>
      </c>
      <c r="J41" s="45" t="s">
        <v>64</v>
      </c>
      <c r="K41" s="45" t="s">
        <v>65</v>
      </c>
      <c r="L41" s="45" t="s">
        <v>65</v>
      </c>
      <c r="M41" s="45" t="s">
        <v>151</v>
      </c>
    </row>
    <row r="42" spans="1:13" ht="48" customHeight="1" x14ac:dyDescent="0.3">
      <c r="A42" s="45" t="s">
        <v>181</v>
      </c>
      <c r="B42" s="45" t="s">
        <v>56</v>
      </c>
      <c r="C42" s="45" t="s">
        <v>182</v>
      </c>
      <c r="D42" s="45" t="s">
        <v>76</v>
      </c>
      <c r="E42" s="45" t="s">
        <v>59</v>
      </c>
      <c r="F42" s="45" t="s">
        <v>60</v>
      </c>
      <c r="G42" s="45" t="s">
        <v>61</v>
      </c>
      <c r="H42" s="45" t="s">
        <v>131</v>
      </c>
      <c r="I42" s="45" t="s">
        <v>63</v>
      </c>
      <c r="J42" s="45" t="s">
        <v>64</v>
      </c>
      <c r="K42" s="45" t="s">
        <v>65</v>
      </c>
      <c r="L42" s="45" t="s">
        <v>65</v>
      </c>
      <c r="M42" s="45" t="s">
        <v>151</v>
      </c>
    </row>
    <row r="43" spans="1:13" ht="48" customHeight="1" x14ac:dyDescent="0.3">
      <c r="A43" s="45" t="s">
        <v>183</v>
      </c>
      <c r="B43" s="45" t="s">
        <v>56</v>
      </c>
      <c r="C43" s="45" t="s">
        <v>184</v>
      </c>
      <c r="D43" s="45" t="s">
        <v>76</v>
      </c>
      <c r="E43" s="45" t="s">
        <v>59</v>
      </c>
      <c r="F43" s="45" t="s">
        <v>60</v>
      </c>
      <c r="G43" s="45" t="s">
        <v>61</v>
      </c>
      <c r="H43" s="45" t="s">
        <v>185</v>
      </c>
      <c r="I43" s="45" t="s">
        <v>63</v>
      </c>
      <c r="J43" s="45" t="s">
        <v>64</v>
      </c>
      <c r="K43" s="45" t="s">
        <v>65</v>
      </c>
      <c r="L43" s="45" t="s">
        <v>65</v>
      </c>
      <c r="M43" s="45" t="s">
        <v>151</v>
      </c>
    </row>
    <row r="44" spans="1:13" ht="48" customHeight="1" x14ac:dyDescent="0.3">
      <c r="A44" s="45" t="s">
        <v>186</v>
      </c>
      <c r="B44" s="45" t="s">
        <v>56</v>
      </c>
      <c r="C44" s="45" t="s">
        <v>187</v>
      </c>
      <c r="D44" s="45" t="s">
        <v>58</v>
      </c>
      <c r="E44" s="45" t="s">
        <v>59</v>
      </c>
      <c r="F44" s="45" t="s">
        <v>60</v>
      </c>
      <c r="G44" s="45" t="s">
        <v>61</v>
      </c>
      <c r="H44" s="45" t="s">
        <v>128</v>
      </c>
      <c r="I44" s="45" t="s">
        <v>63</v>
      </c>
      <c r="J44" s="45" t="s">
        <v>64</v>
      </c>
      <c r="K44" s="45" t="s">
        <v>65</v>
      </c>
      <c r="L44" s="45" t="s">
        <v>65</v>
      </c>
      <c r="M44" s="45" t="s">
        <v>151</v>
      </c>
    </row>
    <row r="45" spans="1:13" ht="48" customHeight="1" x14ac:dyDescent="0.3">
      <c r="A45" s="45" t="s">
        <v>188</v>
      </c>
      <c r="B45" s="45" t="s">
        <v>56</v>
      </c>
      <c r="C45" s="45" t="s">
        <v>189</v>
      </c>
      <c r="D45" s="45" t="s">
        <v>58</v>
      </c>
      <c r="E45" s="45" t="s">
        <v>59</v>
      </c>
      <c r="F45" s="45" t="s">
        <v>60</v>
      </c>
      <c r="G45" s="45" t="s">
        <v>61</v>
      </c>
      <c r="H45" s="45" t="s">
        <v>190</v>
      </c>
      <c r="I45" s="45" t="s">
        <v>63</v>
      </c>
      <c r="J45" s="45" t="s">
        <v>64</v>
      </c>
      <c r="K45" s="45" t="s">
        <v>65</v>
      </c>
      <c r="L45" s="45" t="s">
        <v>65</v>
      </c>
      <c r="M45" s="45" t="s">
        <v>151</v>
      </c>
    </row>
    <row r="46" spans="1:13" ht="48" customHeight="1" x14ac:dyDescent="0.3">
      <c r="A46" s="45" t="s">
        <v>191</v>
      </c>
      <c r="B46" s="45" t="s">
        <v>56</v>
      </c>
      <c r="C46" s="45" t="s">
        <v>192</v>
      </c>
      <c r="D46" s="45" t="s">
        <v>58</v>
      </c>
      <c r="E46" s="45" t="s">
        <v>59</v>
      </c>
      <c r="F46" s="45" t="s">
        <v>60</v>
      </c>
      <c r="G46" s="45" t="s">
        <v>61</v>
      </c>
      <c r="H46" s="45" t="s">
        <v>125</v>
      </c>
      <c r="I46" s="45" t="s">
        <v>63</v>
      </c>
      <c r="J46" s="45" t="s">
        <v>64</v>
      </c>
      <c r="K46" s="45" t="s">
        <v>65</v>
      </c>
      <c r="L46" s="45" t="s">
        <v>65</v>
      </c>
      <c r="M46" s="45" t="s">
        <v>151</v>
      </c>
    </row>
    <row r="47" spans="1:13" ht="48" customHeight="1" x14ac:dyDescent="0.3">
      <c r="A47" s="45" t="s">
        <v>193</v>
      </c>
      <c r="B47" s="45" t="s">
        <v>56</v>
      </c>
      <c r="C47" s="45" t="s">
        <v>136</v>
      </c>
      <c r="D47" s="45" t="s">
        <v>76</v>
      </c>
      <c r="E47" s="45" t="s">
        <v>59</v>
      </c>
      <c r="F47" s="45" t="s">
        <v>60</v>
      </c>
      <c r="G47" s="45" t="s">
        <v>61</v>
      </c>
      <c r="H47" s="45" t="s">
        <v>194</v>
      </c>
      <c r="I47" s="45" t="s">
        <v>63</v>
      </c>
      <c r="J47" s="45" t="s">
        <v>78</v>
      </c>
      <c r="K47" s="45" t="s">
        <v>65</v>
      </c>
      <c r="L47" s="45" t="s">
        <v>65</v>
      </c>
      <c r="M47" s="45" t="s">
        <v>151</v>
      </c>
    </row>
    <row r="48" spans="1:13" ht="48" customHeight="1" x14ac:dyDescent="0.3">
      <c r="A48" s="45" t="s">
        <v>195</v>
      </c>
      <c r="B48" s="45" t="s">
        <v>56</v>
      </c>
      <c r="C48" s="45" t="s">
        <v>133</v>
      </c>
      <c r="D48" s="45" t="s">
        <v>76</v>
      </c>
      <c r="E48" s="45" t="s">
        <v>59</v>
      </c>
      <c r="F48" s="45" t="s">
        <v>60</v>
      </c>
      <c r="G48" s="45" t="s">
        <v>61</v>
      </c>
      <c r="H48" s="45" t="s">
        <v>134</v>
      </c>
      <c r="I48" s="45" t="s">
        <v>63</v>
      </c>
      <c r="J48" s="45" t="s">
        <v>78</v>
      </c>
      <c r="K48" s="45" t="s">
        <v>65</v>
      </c>
      <c r="L48" s="45" t="s">
        <v>65</v>
      </c>
      <c r="M48" s="45" t="s">
        <v>151</v>
      </c>
    </row>
    <row r="49" spans="1:13" ht="48" customHeight="1" x14ac:dyDescent="0.3">
      <c r="A49" s="45" t="s">
        <v>196</v>
      </c>
      <c r="B49" s="45" t="s">
        <v>56</v>
      </c>
      <c r="C49" s="45" t="s">
        <v>197</v>
      </c>
      <c r="D49" s="45" t="s">
        <v>58</v>
      </c>
      <c r="E49" s="45" t="s">
        <v>59</v>
      </c>
      <c r="F49" s="45" t="s">
        <v>60</v>
      </c>
      <c r="G49" s="45" t="s">
        <v>61</v>
      </c>
      <c r="H49" s="45" t="s">
        <v>62</v>
      </c>
      <c r="I49" s="45" t="s">
        <v>63</v>
      </c>
      <c r="J49" s="45" t="s">
        <v>64</v>
      </c>
      <c r="K49" s="45" t="s">
        <v>65</v>
      </c>
      <c r="L49" s="45" t="s">
        <v>65</v>
      </c>
      <c r="M49" s="45" t="s">
        <v>151</v>
      </c>
    </row>
    <row r="50" spans="1:13" ht="48" customHeight="1" x14ac:dyDescent="0.3">
      <c r="A50" s="45" t="s">
        <v>198</v>
      </c>
      <c r="B50" s="45" t="s">
        <v>56</v>
      </c>
      <c r="C50" s="45" t="s">
        <v>199</v>
      </c>
      <c r="D50" s="45" t="s">
        <v>58</v>
      </c>
      <c r="E50" s="45" t="s">
        <v>59</v>
      </c>
      <c r="F50" s="45" t="s">
        <v>60</v>
      </c>
      <c r="G50" s="45" t="s">
        <v>61</v>
      </c>
      <c r="H50" s="45" t="s">
        <v>200</v>
      </c>
      <c r="I50" s="45" t="s">
        <v>63</v>
      </c>
      <c r="J50" s="45" t="s">
        <v>64</v>
      </c>
      <c r="K50" s="45" t="s">
        <v>65</v>
      </c>
      <c r="L50" s="45" t="s">
        <v>65</v>
      </c>
      <c r="M50" s="45" t="s">
        <v>151</v>
      </c>
    </row>
    <row r="51" spans="1:13" ht="48" customHeight="1" x14ac:dyDescent="0.3">
      <c r="A51" s="45" t="s">
        <v>201</v>
      </c>
      <c r="B51" s="45" t="s">
        <v>56</v>
      </c>
      <c r="C51" s="45" t="s">
        <v>202</v>
      </c>
      <c r="D51" s="45" t="s">
        <v>58</v>
      </c>
      <c r="E51" s="45" t="s">
        <v>59</v>
      </c>
      <c r="F51" s="45" t="s">
        <v>60</v>
      </c>
      <c r="G51" s="45" t="s">
        <v>61</v>
      </c>
      <c r="H51" s="45" t="s">
        <v>72</v>
      </c>
      <c r="I51" s="45" t="s">
        <v>63</v>
      </c>
      <c r="J51" s="45" t="s">
        <v>64</v>
      </c>
      <c r="K51" s="45" t="s">
        <v>65</v>
      </c>
      <c r="L51" s="45" t="s">
        <v>65</v>
      </c>
      <c r="M51" s="45" t="s">
        <v>151</v>
      </c>
    </row>
    <row r="52" spans="1:13" ht="48" customHeight="1" x14ac:dyDescent="0.3">
      <c r="A52" s="45" t="s">
        <v>203</v>
      </c>
      <c r="B52" s="45" t="s">
        <v>56</v>
      </c>
      <c r="C52" s="45" t="s">
        <v>75</v>
      </c>
      <c r="D52" s="45" t="s">
        <v>76</v>
      </c>
      <c r="E52" s="45" t="s">
        <v>59</v>
      </c>
      <c r="F52" s="45" t="s">
        <v>60</v>
      </c>
      <c r="G52" s="45" t="s">
        <v>61</v>
      </c>
      <c r="H52" s="45" t="s">
        <v>77</v>
      </c>
      <c r="I52" s="45" t="s">
        <v>63</v>
      </c>
      <c r="J52" s="45" t="s">
        <v>78</v>
      </c>
      <c r="K52" s="45" t="s">
        <v>65</v>
      </c>
      <c r="L52" s="45" t="s">
        <v>65</v>
      </c>
      <c r="M52" s="45" t="s">
        <v>151</v>
      </c>
    </row>
    <row r="53" spans="1:13" ht="48" customHeight="1" x14ac:dyDescent="0.3">
      <c r="A53" s="45" t="s">
        <v>204</v>
      </c>
      <c r="B53" s="45" t="s">
        <v>56</v>
      </c>
      <c r="C53" s="45" t="s">
        <v>84</v>
      </c>
      <c r="D53" s="45" t="s">
        <v>76</v>
      </c>
      <c r="E53" s="45" t="s">
        <v>59</v>
      </c>
      <c r="F53" s="45" t="s">
        <v>60</v>
      </c>
      <c r="G53" s="45" t="s">
        <v>61</v>
      </c>
      <c r="H53" s="45" t="s">
        <v>85</v>
      </c>
      <c r="I53" s="45" t="s">
        <v>63</v>
      </c>
      <c r="J53" s="45" t="s">
        <v>78</v>
      </c>
      <c r="K53" s="45" t="s">
        <v>65</v>
      </c>
      <c r="L53" s="45" t="s">
        <v>65</v>
      </c>
      <c r="M53" s="45" t="s">
        <v>151</v>
      </c>
    </row>
    <row r="54" spans="1:13" ht="48" customHeight="1" x14ac:dyDescent="0.3">
      <c r="A54" s="45" t="s">
        <v>205</v>
      </c>
      <c r="B54" s="45" t="s">
        <v>56</v>
      </c>
      <c r="C54" s="45" t="s">
        <v>206</v>
      </c>
      <c r="D54" s="45" t="s">
        <v>76</v>
      </c>
      <c r="E54" s="45" t="s">
        <v>59</v>
      </c>
      <c r="F54" s="45" t="s">
        <v>60</v>
      </c>
      <c r="G54" s="45" t="s">
        <v>61</v>
      </c>
      <c r="H54" s="45" t="s">
        <v>62</v>
      </c>
      <c r="I54" s="45" t="s">
        <v>63</v>
      </c>
      <c r="J54" s="45" t="s">
        <v>207</v>
      </c>
      <c r="K54" s="45" t="s">
        <v>65</v>
      </c>
      <c r="L54" s="45" t="s">
        <v>65</v>
      </c>
      <c r="M54" s="45" t="s">
        <v>151</v>
      </c>
    </row>
    <row r="55" spans="1:13" ht="48" customHeight="1" x14ac:dyDescent="0.3">
      <c r="A55" s="45" t="s">
        <v>208</v>
      </c>
      <c r="B55" s="45" t="s">
        <v>56</v>
      </c>
      <c r="C55" s="45" t="s">
        <v>209</v>
      </c>
      <c r="D55" s="45" t="s">
        <v>58</v>
      </c>
      <c r="E55" s="45" t="s">
        <v>59</v>
      </c>
      <c r="F55" s="45" t="s">
        <v>60</v>
      </c>
      <c r="G55" s="45" t="s">
        <v>61</v>
      </c>
      <c r="H55" s="45" t="s">
        <v>62</v>
      </c>
      <c r="I55" s="45" t="s">
        <v>63</v>
      </c>
      <c r="J55" s="45" t="s">
        <v>64</v>
      </c>
      <c r="K55" s="45" t="s">
        <v>65</v>
      </c>
      <c r="L55" s="45" t="s">
        <v>65</v>
      </c>
      <c r="M55" s="45" t="s">
        <v>151</v>
      </c>
    </row>
    <row r="56" spans="1:13" ht="48" customHeight="1" x14ac:dyDescent="0.3">
      <c r="A56" s="45" t="s">
        <v>210</v>
      </c>
      <c r="B56" s="45" t="s">
        <v>56</v>
      </c>
      <c r="C56" s="45" t="s">
        <v>211</v>
      </c>
      <c r="D56" s="45" t="s">
        <v>58</v>
      </c>
      <c r="E56" s="45" t="s">
        <v>59</v>
      </c>
      <c r="F56" s="45" t="s">
        <v>60</v>
      </c>
      <c r="G56" s="45" t="s">
        <v>61</v>
      </c>
      <c r="H56" s="45" t="s">
        <v>212</v>
      </c>
      <c r="I56" s="45" t="s">
        <v>63</v>
      </c>
      <c r="J56" s="45" t="s">
        <v>64</v>
      </c>
      <c r="K56" s="45" t="s">
        <v>65</v>
      </c>
      <c r="L56" s="45" t="s">
        <v>65</v>
      </c>
      <c r="M56" s="45" t="s">
        <v>213</v>
      </c>
    </row>
    <row r="57" spans="1:13" ht="48" customHeight="1" x14ac:dyDescent="0.3">
      <c r="A57" s="45" t="s">
        <v>214</v>
      </c>
      <c r="B57" s="45" t="s">
        <v>56</v>
      </c>
      <c r="C57" s="45" t="s">
        <v>215</v>
      </c>
      <c r="D57" s="45" t="s">
        <v>58</v>
      </c>
      <c r="E57" s="45" t="s">
        <v>59</v>
      </c>
      <c r="F57" s="45" t="s">
        <v>60</v>
      </c>
      <c r="G57" s="45" t="s">
        <v>61</v>
      </c>
      <c r="H57" s="45" t="s">
        <v>216</v>
      </c>
      <c r="I57" s="45" t="s">
        <v>63</v>
      </c>
      <c r="J57" s="45" t="s">
        <v>64</v>
      </c>
      <c r="K57" s="45" t="s">
        <v>65</v>
      </c>
      <c r="L57" s="45" t="s">
        <v>65</v>
      </c>
      <c r="M57" s="45" t="s">
        <v>213</v>
      </c>
    </row>
    <row r="58" spans="1:13" ht="48" customHeight="1" x14ac:dyDescent="0.3">
      <c r="A58" s="45" t="s">
        <v>217</v>
      </c>
      <c r="B58" s="45" t="s">
        <v>56</v>
      </c>
      <c r="C58" s="45" t="s">
        <v>218</v>
      </c>
      <c r="D58" s="45" t="s">
        <v>58</v>
      </c>
      <c r="E58" s="45" t="s">
        <v>59</v>
      </c>
      <c r="F58" s="45" t="s">
        <v>60</v>
      </c>
      <c r="G58" s="45" t="s">
        <v>61</v>
      </c>
      <c r="H58" s="45" t="s">
        <v>219</v>
      </c>
      <c r="I58" s="45" t="s">
        <v>63</v>
      </c>
      <c r="J58" s="45" t="s">
        <v>64</v>
      </c>
      <c r="K58" s="45" t="s">
        <v>65</v>
      </c>
      <c r="L58" s="45" t="s">
        <v>65</v>
      </c>
      <c r="M58" s="45" t="s">
        <v>213</v>
      </c>
    </row>
    <row r="59" spans="1:13" ht="48" customHeight="1" x14ac:dyDescent="0.3">
      <c r="A59" s="45" t="s">
        <v>220</v>
      </c>
      <c r="B59" s="45" t="s">
        <v>56</v>
      </c>
      <c r="C59" s="45" t="s">
        <v>221</v>
      </c>
      <c r="D59" s="45" t="s">
        <v>58</v>
      </c>
      <c r="E59" s="45" t="s">
        <v>59</v>
      </c>
      <c r="F59" s="45" t="s">
        <v>60</v>
      </c>
      <c r="G59" s="45" t="s">
        <v>61</v>
      </c>
      <c r="H59" s="45" t="s">
        <v>222</v>
      </c>
      <c r="I59" s="45" t="s">
        <v>63</v>
      </c>
      <c r="J59" s="45" t="s">
        <v>64</v>
      </c>
      <c r="K59" s="45" t="s">
        <v>65</v>
      </c>
      <c r="L59" s="45" t="s">
        <v>65</v>
      </c>
      <c r="M59" s="45" t="s">
        <v>213</v>
      </c>
    </row>
    <row r="60" spans="1:13" ht="48" customHeight="1" x14ac:dyDescent="0.3">
      <c r="A60" s="45" t="s">
        <v>223</v>
      </c>
      <c r="B60" s="45" t="s">
        <v>56</v>
      </c>
      <c r="C60" s="45" t="s">
        <v>224</v>
      </c>
      <c r="D60" s="45" t="s">
        <v>58</v>
      </c>
      <c r="E60" s="45" t="s">
        <v>59</v>
      </c>
      <c r="F60" s="45" t="s">
        <v>60</v>
      </c>
      <c r="G60" s="45" t="s">
        <v>61</v>
      </c>
      <c r="H60" s="45" t="s">
        <v>225</v>
      </c>
      <c r="I60" s="45" t="s">
        <v>63</v>
      </c>
      <c r="J60" s="45" t="s">
        <v>64</v>
      </c>
      <c r="K60" s="45" t="s">
        <v>65</v>
      </c>
      <c r="L60" s="45" t="s">
        <v>65</v>
      </c>
      <c r="M60" s="45" t="s">
        <v>213</v>
      </c>
    </row>
    <row r="61" spans="1:13" ht="48" customHeight="1" x14ac:dyDescent="0.3">
      <c r="A61" s="45" t="s">
        <v>226</v>
      </c>
      <c r="B61" s="45" t="s">
        <v>56</v>
      </c>
      <c r="C61" s="45" t="s">
        <v>227</v>
      </c>
      <c r="D61" s="45" t="s">
        <v>58</v>
      </c>
      <c r="E61" s="45" t="s">
        <v>59</v>
      </c>
      <c r="F61" s="45" t="s">
        <v>60</v>
      </c>
      <c r="G61" s="45" t="s">
        <v>61</v>
      </c>
      <c r="H61" s="45" t="s">
        <v>228</v>
      </c>
      <c r="I61" s="45" t="s">
        <v>63</v>
      </c>
      <c r="J61" s="45" t="s">
        <v>64</v>
      </c>
      <c r="K61" s="45" t="s">
        <v>65</v>
      </c>
      <c r="L61" s="45" t="s">
        <v>65</v>
      </c>
      <c r="M61" s="45" t="s">
        <v>213</v>
      </c>
    </row>
    <row r="62" spans="1:13" ht="48" customHeight="1" x14ac:dyDescent="0.3">
      <c r="A62" s="45" t="s">
        <v>229</v>
      </c>
      <c r="B62" s="45" t="s">
        <v>56</v>
      </c>
      <c r="C62" s="45" t="s">
        <v>230</v>
      </c>
      <c r="D62" s="45" t="s">
        <v>58</v>
      </c>
      <c r="E62" s="45" t="s">
        <v>59</v>
      </c>
      <c r="F62" s="45" t="s">
        <v>60</v>
      </c>
      <c r="G62" s="45" t="s">
        <v>61</v>
      </c>
      <c r="H62" s="45" t="s">
        <v>231</v>
      </c>
      <c r="I62" s="45" t="s">
        <v>63</v>
      </c>
      <c r="J62" s="45" t="s">
        <v>64</v>
      </c>
      <c r="K62" s="45" t="s">
        <v>65</v>
      </c>
      <c r="L62" s="45" t="s">
        <v>65</v>
      </c>
      <c r="M62" s="45" t="s">
        <v>213</v>
      </c>
    </row>
    <row r="63" spans="1:13" ht="48" customHeight="1" x14ac:dyDescent="0.3">
      <c r="A63" s="45" t="s">
        <v>232</v>
      </c>
      <c r="B63" s="45" t="s">
        <v>56</v>
      </c>
      <c r="C63" s="45" t="s">
        <v>233</v>
      </c>
      <c r="D63" s="45" t="s">
        <v>58</v>
      </c>
      <c r="E63" s="45" t="s">
        <v>59</v>
      </c>
      <c r="F63" s="45" t="s">
        <v>60</v>
      </c>
      <c r="G63" s="45" t="s">
        <v>61</v>
      </c>
      <c r="H63" s="45" t="s">
        <v>234</v>
      </c>
      <c r="I63" s="45" t="s">
        <v>63</v>
      </c>
      <c r="J63" s="45" t="s">
        <v>64</v>
      </c>
      <c r="K63" s="45" t="s">
        <v>65</v>
      </c>
      <c r="L63" s="45" t="s">
        <v>65</v>
      </c>
      <c r="M63" s="45" t="s">
        <v>213</v>
      </c>
    </row>
    <row r="64" spans="1:13" ht="48" customHeight="1" x14ac:dyDescent="0.3">
      <c r="A64" s="45" t="s">
        <v>235</v>
      </c>
      <c r="B64" s="45" t="s">
        <v>56</v>
      </c>
      <c r="C64" s="45" t="s">
        <v>236</v>
      </c>
      <c r="D64" s="45" t="s">
        <v>58</v>
      </c>
      <c r="E64" s="45" t="s">
        <v>59</v>
      </c>
      <c r="F64" s="45" t="s">
        <v>60</v>
      </c>
      <c r="G64" s="45" t="s">
        <v>61</v>
      </c>
      <c r="H64" s="45" t="s">
        <v>237</v>
      </c>
      <c r="I64" s="45" t="s">
        <v>63</v>
      </c>
      <c r="J64" s="45" t="s">
        <v>64</v>
      </c>
      <c r="K64" s="45" t="s">
        <v>65</v>
      </c>
      <c r="L64" s="45" t="s">
        <v>65</v>
      </c>
      <c r="M64" s="45" t="s">
        <v>213</v>
      </c>
    </row>
    <row r="65" spans="1:13" ht="48" customHeight="1" x14ac:dyDescent="0.3">
      <c r="A65" s="45" t="s">
        <v>238</v>
      </c>
      <c r="B65" s="45" t="s">
        <v>56</v>
      </c>
      <c r="C65" s="45" t="s">
        <v>239</v>
      </c>
      <c r="D65" s="45" t="s">
        <v>58</v>
      </c>
      <c r="E65" s="45" t="s">
        <v>59</v>
      </c>
      <c r="F65" s="45" t="s">
        <v>60</v>
      </c>
      <c r="G65" s="45" t="s">
        <v>61</v>
      </c>
      <c r="H65" s="45" t="s">
        <v>240</v>
      </c>
      <c r="I65" s="45" t="s">
        <v>63</v>
      </c>
      <c r="J65" s="45" t="s">
        <v>64</v>
      </c>
      <c r="K65" s="45" t="s">
        <v>65</v>
      </c>
      <c r="L65" s="45" t="s">
        <v>65</v>
      </c>
      <c r="M65" s="45" t="s">
        <v>213</v>
      </c>
    </row>
    <row r="66" spans="1:13" ht="48" customHeight="1" x14ac:dyDescent="0.3">
      <c r="A66" s="45" t="s">
        <v>241</v>
      </c>
      <c r="B66" s="45" t="s">
        <v>56</v>
      </c>
      <c r="C66" s="45" t="s">
        <v>242</v>
      </c>
      <c r="D66" s="45" t="s">
        <v>58</v>
      </c>
      <c r="E66" s="45" t="s">
        <v>59</v>
      </c>
      <c r="F66" s="45" t="s">
        <v>60</v>
      </c>
      <c r="G66" s="45" t="s">
        <v>61</v>
      </c>
      <c r="H66" s="45" t="s">
        <v>243</v>
      </c>
      <c r="I66" s="45" t="s">
        <v>63</v>
      </c>
      <c r="J66" s="45" t="s">
        <v>64</v>
      </c>
      <c r="K66" s="45" t="s">
        <v>65</v>
      </c>
      <c r="L66" s="45" t="s">
        <v>65</v>
      </c>
      <c r="M66" s="45" t="s">
        <v>213</v>
      </c>
    </row>
    <row r="67" spans="1:13" ht="48" customHeight="1" x14ac:dyDescent="0.3">
      <c r="A67" s="45" t="s">
        <v>244</v>
      </c>
      <c r="B67" s="45" t="s">
        <v>56</v>
      </c>
      <c r="C67" s="45" t="s">
        <v>245</v>
      </c>
      <c r="D67" s="45" t="s">
        <v>58</v>
      </c>
      <c r="E67" s="45" t="s">
        <v>59</v>
      </c>
      <c r="F67" s="45" t="s">
        <v>60</v>
      </c>
      <c r="G67" s="45" t="s">
        <v>61</v>
      </c>
      <c r="H67" s="45" t="s">
        <v>246</v>
      </c>
      <c r="I67" s="45" t="s">
        <v>63</v>
      </c>
      <c r="J67" s="45" t="s">
        <v>64</v>
      </c>
      <c r="K67" s="45" t="s">
        <v>65</v>
      </c>
      <c r="L67" s="45" t="s">
        <v>65</v>
      </c>
      <c r="M67" s="45" t="s">
        <v>213</v>
      </c>
    </row>
    <row r="68" spans="1:13" ht="48" customHeight="1" x14ac:dyDescent="0.3">
      <c r="A68" s="45" t="s">
        <v>247</v>
      </c>
      <c r="B68" s="45" t="s">
        <v>56</v>
      </c>
      <c r="C68" s="45" t="s">
        <v>248</v>
      </c>
      <c r="D68" s="45" t="s">
        <v>58</v>
      </c>
      <c r="E68" s="45" t="s">
        <v>59</v>
      </c>
      <c r="F68" s="45" t="s">
        <v>60</v>
      </c>
      <c r="G68" s="45" t="s">
        <v>61</v>
      </c>
      <c r="H68" s="45" t="s">
        <v>249</v>
      </c>
      <c r="I68" s="45" t="s">
        <v>63</v>
      </c>
      <c r="J68" s="45" t="s">
        <v>64</v>
      </c>
      <c r="K68" s="45" t="s">
        <v>65</v>
      </c>
      <c r="L68" s="45" t="s">
        <v>65</v>
      </c>
      <c r="M68" s="45" t="s">
        <v>213</v>
      </c>
    </row>
    <row r="69" spans="1:13" ht="48" customHeight="1" x14ac:dyDescent="0.3">
      <c r="A69" s="45" t="s">
        <v>250</v>
      </c>
      <c r="B69" s="45" t="s">
        <v>56</v>
      </c>
      <c r="C69" s="45" t="s">
        <v>251</v>
      </c>
      <c r="D69" s="45" t="s">
        <v>58</v>
      </c>
      <c r="E69" s="45" t="s">
        <v>59</v>
      </c>
      <c r="F69" s="45" t="s">
        <v>60</v>
      </c>
      <c r="G69" s="45" t="s">
        <v>61</v>
      </c>
      <c r="H69" s="45" t="s">
        <v>252</v>
      </c>
      <c r="I69" s="45" t="s">
        <v>63</v>
      </c>
      <c r="J69" s="45" t="s">
        <v>64</v>
      </c>
      <c r="K69" s="45" t="s">
        <v>65</v>
      </c>
      <c r="L69" s="45" t="s">
        <v>65</v>
      </c>
      <c r="M69" s="45" t="s">
        <v>213</v>
      </c>
    </row>
    <row r="70" spans="1:13" ht="48" customHeight="1" x14ac:dyDescent="0.3">
      <c r="A70" s="45" t="s">
        <v>253</v>
      </c>
      <c r="B70" s="45" t="s">
        <v>56</v>
      </c>
      <c r="C70" s="45" t="s">
        <v>254</v>
      </c>
      <c r="D70" s="45" t="s">
        <v>58</v>
      </c>
      <c r="E70" s="45" t="s">
        <v>59</v>
      </c>
      <c r="F70" s="45" t="s">
        <v>60</v>
      </c>
      <c r="G70" s="45" t="s">
        <v>61</v>
      </c>
      <c r="H70" s="45" t="s">
        <v>255</v>
      </c>
      <c r="I70" s="45" t="s">
        <v>63</v>
      </c>
      <c r="J70" s="45" t="s">
        <v>64</v>
      </c>
      <c r="K70" s="45" t="s">
        <v>65</v>
      </c>
      <c r="L70" s="45" t="s">
        <v>65</v>
      </c>
      <c r="M70" s="45" t="s">
        <v>213</v>
      </c>
    </row>
    <row r="71" spans="1:13" ht="48" customHeight="1" x14ac:dyDescent="0.3">
      <c r="A71" s="45" t="s">
        <v>256</v>
      </c>
      <c r="B71" s="45" t="s">
        <v>56</v>
      </c>
      <c r="C71" s="45" t="s">
        <v>257</v>
      </c>
      <c r="D71" s="45" t="s">
        <v>58</v>
      </c>
      <c r="E71" s="45" t="s">
        <v>59</v>
      </c>
      <c r="F71" s="45" t="s">
        <v>60</v>
      </c>
      <c r="G71" s="45" t="s">
        <v>61</v>
      </c>
      <c r="H71" s="45" t="s">
        <v>258</v>
      </c>
      <c r="I71" s="45" t="s">
        <v>63</v>
      </c>
      <c r="J71" s="45" t="s">
        <v>64</v>
      </c>
      <c r="K71" s="45" t="s">
        <v>65</v>
      </c>
      <c r="L71" s="45" t="s">
        <v>65</v>
      </c>
      <c r="M71" s="45" t="s">
        <v>213</v>
      </c>
    </row>
    <row r="72" spans="1:13" ht="48" customHeight="1" x14ac:dyDescent="0.3">
      <c r="A72" s="45" t="s">
        <v>259</v>
      </c>
      <c r="B72" s="45" t="s">
        <v>56</v>
      </c>
      <c r="C72" s="45" t="s">
        <v>260</v>
      </c>
      <c r="D72" s="45" t="s">
        <v>58</v>
      </c>
      <c r="E72" s="45" t="s">
        <v>59</v>
      </c>
      <c r="F72" s="45" t="s">
        <v>60</v>
      </c>
      <c r="G72" s="45" t="s">
        <v>61</v>
      </c>
      <c r="H72" s="45" t="s">
        <v>62</v>
      </c>
      <c r="I72" s="45" t="s">
        <v>63</v>
      </c>
      <c r="J72" s="45" t="s">
        <v>64</v>
      </c>
      <c r="K72" s="45" t="s">
        <v>65</v>
      </c>
      <c r="L72" s="45" t="s">
        <v>65</v>
      </c>
      <c r="M72" s="45" t="s">
        <v>261</v>
      </c>
    </row>
    <row r="73" spans="1:13" ht="48" customHeight="1" x14ac:dyDescent="0.3">
      <c r="A73" s="45" t="s">
        <v>262</v>
      </c>
      <c r="B73" s="45" t="s">
        <v>56</v>
      </c>
      <c r="C73" s="45" t="s">
        <v>263</v>
      </c>
      <c r="D73" s="45" t="s">
        <v>58</v>
      </c>
      <c r="E73" s="45" t="s">
        <v>59</v>
      </c>
      <c r="F73" s="45" t="s">
        <v>60</v>
      </c>
      <c r="G73" s="45" t="s">
        <v>61</v>
      </c>
      <c r="H73" s="45" t="s">
        <v>62</v>
      </c>
      <c r="I73" s="45" t="s">
        <v>63</v>
      </c>
      <c r="J73" s="45" t="s">
        <v>64</v>
      </c>
      <c r="K73" s="45" t="s">
        <v>65</v>
      </c>
      <c r="L73" s="45" t="s">
        <v>65</v>
      </c>
      <c r="M73" s="45" t="s">
        <v>261</v>
      </c>
    </row>
    <row r="74" spans="1:13" ht="48" customHeight="1" x14ac:dyDescent="0.3">
      <c r="A74" s="45" t="s">
        <v>264</v>
      </c>
      <c r="B74" s="45" t="s">
        <v>56</v>
      </c>
      <c r="C74" s="45" t="s">
        <v>265</v>
      </c>
      <c r="D74" s="45" t="s">
        <v>58</v>
      </c>
      <c r="E74" s="45" t="s">
        <v>59</v>
      </c>
      <c r="F74" s="45" t="s">
        <v>60</v>
      </c>
      <c r="G74" s="45" t="s">
        <v>61</v>
      </c>
      <c r="H74" s="45" t="s">
        <v>62</v>
      </c>
      <c r="I74" s="45" t="s">
        <v>63</v>
      </c>
      <c r="J74" s="45" t="s">
        <v>64</v>
      </c>
      <c r="K74" s="45" t="s">
        <v>65</v>
      </c>
      <c r="L74" s="45" t="s">
        <v>65</v>
      </c>
      <c r="M74" s="45" t="s">
        <v>261</v>
      </c>
    </row>
    <row r="75" spans="1:13" ht="48" customHeight="1" x14ac:dyDescent="0.3">
      <c r="A75" s="45" t="s">
        <v>266</v>
      </c>
      <c r="B75" s="45" t="s">
        <v>56</v>
      </c>
      <c r="C75" s="45" t="s">
        <v>267</v>
      </c>
      <c r="D75" s="45" t="s">
        <v>58</v>
      </c>
      <c r="E75" s="45" t="s">
        <v>59</v>
      </c>
      <c r="F75" s="45" t="s">
        <v>60</v>
      </c>
      <c r="G75" s="45" t="s">
        <v>61</v>
      </c>
      <c r="H75" s="45" t="s">
        <v>268</v>
      </c>
      <c r="I75" s="45" t="s">
        <v>63</v>
      </c>
      <c r="J75" s="45" t="s">
        <v>64</v>
      </c>
      <c r="K75" s="45" t="s">
        <v>65</v>
      </c>
      <c r="L75" s="45" t="s">
        <v>65</v>
      </c>
      <c r="M75" s="45" t="s">
        <v>261</v>
      </c>
    </row>
    <row r="76" spans="1:13" ht="48" customHeight="1" x14ac:dyDescent="0.3">
      <c r="A76" s="45" t="s">
        <v>269</v>
      </c>
      <c r="B76" s="45" t="s">
        <v>56</v>
      </c>
      <c r="C76" s="45" t="s">
        <v>270</v>
      </c>
      <c r="D76" s="45" t="s">
        <v>76</v>
      </c>
      <c r="E76" s="45" t="s">
        <v>59</v>
      </c>
      <c r="F76" s="45" t="s">
        <v>60</v>
      </c>
      <c r="G76" s="45" t="s">
        <v>61</v>
      </c>
      <c r="H76" s="45" t="s">
        <v>62</v>
      </c>
      <c r="I76" s="45" t="s">
        <v>63</v>
      </c>
      <c r="J76" s="45" t="s">
        <v>207</v>
      </c>
      <c r="K76" s="45" t="s">
        <v>65</v>
      </c>
      <c r="L76" s="45" t="s">
        <v>65</v>
      </c>
      <c r="M76" s="45" t="s">
        <v>261</v>
      </c>
    </row>
    <row r="77" spans="1:13" ht="48" customHeight="1" x14ac:dyDescent="0.3">
      <c r="A77" s="45" t="s">
        <v>271</v>
      </c>
      <c r="B77" s="45" t="s">
        <v>56</v>
      </c>
      <c r="C77" s="45" t="s">
        <v>272</v>
      </c>
      <c r="D77" s="45" t="s">
        <v>58</v>
      </c>
      <c r="E77" s="45" t="s">
        <v>59</v>
      </c>
      <c r="F77" s="45" t="s">
        <v>60</v>
      </c>
      <c r="G77" s="45" t="s">
        <v>61</v>
      </c>
      <c r="H77" s="45" t="s">
        <v>62</v>
      </c>
      <c r="I77" s="45" t="s">
        <v>63</v>
      </c>
      <c r="J77" s="45" t="s">
        <v>64</v>
      </c>
      <c r="K77" s="45" t="s">
        <v>65</v>
      </c>
      <c r="L77" s="45" t="s">
        <v>65</v>
      </c>
      <c r="M77" s="45" t="s">
        <v>261</v>
      </c>
    </row>
    <row r="78" spans="1:13" ht="48" customHeight="1" x14ac:dyDescent="0.3">
      <c r="A78" s="45" t="s">
        <v>273</v>
      </c>
      <c r="B78" s="45" t="s">
        <v>56</v>
      </c>
      <c r="C78" s="45" t="s">
        <v>274</v>
      </c>
      <c r="D78" s="45" t="s">
        <v>58</v>
      </c>
      <c r="E78" s="45" t="s">
        <v>59</v>
      </c>
      <c r="F78" s="45" t="s">
        <v>60</v>
      </c>
      <c r="G78" s="45" t="s">
        <v>61</v>
      </c>
      <c r="H78" s="45" t="s">
        <v>62</v>
      </c>
      <c r="I78" s="45" t="s">
        <v>63</v>
      </c>
      <c r="J78" s="45" t="s">
        <v>64</v>
      </c>
      <c r="K78" s="45" t="s">
        <v>65</v>
      </c>
      <c r="L78" s="45" t="s">
        <v>65</v>
      </c>
      <c r="M78" s="45" t="s">
        <v>261</v>
      </c>
    </row>
    <row r="79" spans="1:13" ht="48" customHeight="1" x14ac:dyDescent="0.3">
      <c r="A79" s="45" t="s">
        <v>275</v>
      </c>
      <c r="B79" s="45" t="s">
        <v>56</v>
      </c>
      <c r="C79" s="45" t="s">
        <v>276</v>
      </c>
      <c r="D79" s="45" t="s">
        <v>58</v>
      </c>
      <c r="E79" s="45" t="s">
        <v>59</v>
      </c>
      <c r="F79" s="45" t="s">
        <v>60</v>
      </c>
      <c r="G79" s="45" t="s">
        <v>61</v>
      </c>
      <c r="H79" s="45" t="s">
        <v>277</v>
      </c>
      <c r="I79" s="45" t="s">
        <v>63</v>
      </c>
      <c r="J79" s="45" t="s">
        <v>64</v>
      </c>
      <c r="K79" s="45" t="s">
        <v>65</v>
      </c>
      <c r="L79" s="45" t="s">
        <v>65</v>
      </c>
      <c r="M79" s="45" t="s">
        <v>261</v>
      </c>
    </row>
    <row r="80" spans="1:13" ht="48" customHeight="1" x14ac:dyDescent="0.3">
      <c r="A80" s="45" t="s">
        <v>278</v>
      </c>
      <c r="B80" s="45" t="s">
        <v>56</v>
      </c>
      <c r="C80" s="45" t="s">
        <v>279</v>
      </c>
      <c r="D80" s="45" t="s">
        <v>58</v>
      </c>
      <c r="E80" s="45" t="s">
        <v>59</v>
      </c>
      <c r="F80" s="45" t="s">
        <v>60</v>
      </c>
      <c r="G80" s="45" t="s">
        <v>61</v>
      </c>
      <c r="H80" s="45" t="s">
        <v>216</v>
      </c>
      <c r="I80" s="45" t="s">
        <v>63</v>
      </c>
      <c r="J80" s="45" t="s">
        <v>64</v>
      </c>
      <c r="K80" s="45" t="s">
        <v>65</v>
      </c>
      <c r="L80" s="45" t="s">
        <v>65</v>
      </c>
      <c r="M80" s="45" t="s">
        <v>261</v>
      </c>
    </row>
    <row r="81" spans="1:13" ht="48" customHeight="1" x14ac:dyDescent="0.3">
      <c r="A81" s="45" t="s">
        <v>280</v>
      </c>
      <c r="B81" s="45" t="s">
        <v>56</v>
      </c>
      <c r="C81" s="45" t="s">
        <v>281</v>
      </c>
      <c r="D81" s="45" t="s">
        <v>58</v>
      </c>
      <c r="E81" s="45" t="s">
        <v>59</v>
      </c>
      <c r="F81" s="45" t="s">
        <v>60</v>
      </c>
      <c r="G81" s="45" t="s">
        <v>61</v>
      </c>
      <c r="H81" s="45" t="s">
        <v>216</v>
      </c>
      <c r="I81" s="45" t="s">
        <v>63</v>
      </c>
      <c r="J81" s="45" t="s">
        <v>64</v>
      </c>
      <c r="K81" s="45" t="s">
        <v>65</v>
      </c>
      <c r="L81" s="45" t="s">
        <v>65</v>
      </c>
      <c r="M81" s="45" t="s">
        <v>261</v>
      </c>
    </row>
    <row r="82" spans="1:13" ht="48" customHeight="1" x14ac:dyDescent="0.3">
      <c r="A82" s="45" t="s">
        <v>282</v>
      </c>
      <c r="B82" s="45" t="s">
        <v>56</v>
      </c>
      <c r="C82" s="45" t="s">
        <v>283</v>
      </c>
      <c r="D82" s="45" t="s">
        <v>58</v>
      </c>
      <c r="E82" s="45" t="s">
        <v>59</v>
      </c>
      <c r="F82" s="45" t="s">
        <v>60</v>
      </c>
      <c r="G82" s="45" t="s">
        <v>61</v>
      </c>
      <c r="H82" s="45" t="s">
        <v>216</v>
      </c>
      <c r="I82" s="45" t="s">
        <v>63</v>
      </c>
      <c r="J82" s="45" t="s">
        <v>64</v>
      </c>
      <c r="K82" s="45" t="s">
        <v>65</v>
      </c>
      <c r="L82" s="45" t="s">
        <v>65</v>
      </c>
      <c r="M82" s="45" t="s">
        <v>261</v>
      </c>
    </row>
    <row r="83" spans="1:13" ht="48" customHeight="1" x14ac:dyDescent="0.3">
      <c r="A83" s="45" t="s">
        <v>284</v>
      </c>
      <c r="B83" s="45" t="s">
        <v>56</v>
      </c>
      <c r="C83" s="45" t="s">
        <v>285</v>
      </c>
      <c r="D83" s="45" t="s">
        <v>76</v>
      </c>
      <c r="E83" s="45" t="s">
        <v>59</v>
      </c>
      <c r="F83" s="45" t="s">
        <v>60</v>
      </c>
      <c r="G83" s="45" t="s">
        <v>61</v>
      </c>
      <c r="H83" s="45" t="s">
        <v>216</v>
      </c>
      <c r="I83" s="45" t="s">
        <v>63</v>
      </c>
      <c r="J83" s="45" t="s">
        <v>64</v>
      </c>
      <c r="K83" s="45" t="s">
        <v>65</v>
      </c>
      <c r="L83" s="45" t="s">
        <v>65</v>
      </c>
      <c r="M83" s="45" t="s">
        <v>261</v>
      </c>
    </row>
    <row r="84" spans="1:13" ht="48" customHeight="1" x14ac:dyDescent="0.3">
      <c r="A84" s="45" t="s">
        <v>286</v>
      </c>
      <c r="B84" s="45" t="s">
        <v>287</v>
      </c>
      <c r="C84" s="45" t="s">
        <v>288</v>
      </c>
      <c r="D84" s="45" t="s">
        <v>58</v>
      </c>
      <c r="E84" s="45" t="s">
        <v>59</v>
      </c>
      <c r="F84" s="45" t="s">
        <v>60</v>
      </c>
      <c r="G84" s="45" t="s">
        <v>289</v>
      </c>
      <c r="H84" s="45" t="s">
        <v>290</v>
      </c>
      <c r="I84" s="45" t="s">
        <v>291</v>
      </c>
      <c r="J84" s="45" t="s">
        <v>292</v>
      </c>
      <c r="K84" s="45" t="s">
        <v>65</v>
      </c>
      <c r="L84" s="45" t="s">
        <v>65</v>
      </c>
      <c r="M84" s="45" t="s">
        <v>293</v>
      </c>
    </row>
    <row r="85" spans="1:13" ht="48" customHeight="1" x14ac:dyDescent="0.3">
      <c r="A85" s="45" t="s">
        <v>294</v>
      </c>
      <c r="B85" s="45" t="s">
        <v>287</v>
      </c>
      <c r="C85" s="45" t="s">
        <v>295</v>
      </c>
      <c r="D85" s="45" t="s">
        <v>58</v>
      </c>
      <c r="E85" s="45" t="s">
        <v>59</v>
      </c>
      <c r="F85" s="45" t="s">
        <v>60</v>
      </c>
      <c r="G85" s="45" t="s">
        <v>289</v>
      </c>
      <c r="H85" s="45" t="s">
        <v>290</v>
      </c>
      <c r="I85" s="45" t="s">
        <v>291</v>
      </c>
      <c r="J85" s="45" t="s">
        <v>292</v>
      </c>
      <c r="K85" s="45" t="s">
        <v>65</v>
      </c>
      <c r="L85" s="45" t="s">
        <v>65</v>
      </c>
      <c r="M85" s="45" t="s">
        <v>293</v>
      </c>
    </row>
    <row r="86" spans="1:13" ht="48" customHeight="1" x14ac:dyDescent="0.3">
      <c r="A86" s="45" t="s">
        <v>296</v>
      </c>
      <c r="B86" s="45" t="s">
        <v>287</v>
      </c>
      <c r="C86" s="45" t="s">
        <v>297</v>
      </c>
      <c r="D86" s="45" t="s">
        <v>58</v>
      </c>
      <c r="E86" s="45" t="s">
        <v>59</v>
      </c>
      <c r="F86" s="45" t="s">
        <v>60</v>
      </c>
      <c r="G86" s="45" t="s">
        <v>289</v>
      </c>
      <c r="H86" s="45" t="s">
        <v>290</v>
      </c>
      <c r="I86" s="45" t="s">
        <v>291</v>
      </c>
      <c r="J86" s="45" t="s">
        <v>292</v>
      </c>
      <c r="K86" s="45" t="s">
        <v>65</v>
      </c>
      <c r="L86" s="45" t="s">
        <v>65</v>
      </c>
      <c r="M86" s="45" t="s">
        <v>293</v>
      </c>
    </row>
    <row r="87" spans="1:13" ht="48" customHeight="1" x14ac:dyDescent="0.3">
      <c r="A87" s="45" t="s">
        <v>298</v>
      </c>
      <c r="B87" s="45" t="s">
        <v>287</v>
      </c>
      <c r="C87" s="45" t="s">
        <v>299</v>
      </c>
      <c r="D87" s="45" t="s">
        <v>58</v>
      </c>
      <c r="E87" s="45" t="s">
        <v>59</v>
      </c>
      <c r="F87" s="45" t="s">
        <v>60</v>
      </c>
      <c r="G87" s="45" t="s">
        <v>289</v>
      </c>
      <c r="H87" s="45" t="s">
        <v>290</v>
      </c>
      <c r="I87" s="45" t="s">
        <v>291</v>
      </c>
      <c r="J87" s="45" t="s">
        <v>292</v>
      </c>
      <c r="K87" s="45" t="s">
        <v>65</v>
      </c>
      <c r="L87" s="45" t="s">
        <v>65</v>
      </c>
      <c r="M87" s="45" t="s">
        <v>293</v>
      </c>
    </row>
    <row r="88" spans="1:13" ht="48" customHeight="1" x14ac:dyDescent="0.3">
      <c r="A88" s="45" t="s">
        <v>300</v>
      </c>
      <c r="B88" s="45" t="s">
        <v>287</v>
      </c>
      <c r="C88" s="45" t="s">
        <v>301</v>
      </c>
      <c r="D88" s="45" t="s">
        <v>58</v>
      </c>
      <c r="E88" s="45" t="s">
        <v>59</v>
      </c>
      <c r="F88" s="45" t="s">
        <v>60</v>
      </c>
      <c r="G88" s="45" t="s">
        <v>289</v>
      </c>
      <c r="H88" s="45" t="s">
        <v>290</v>
      </c>
      <c r="I88" s="45" t="s">
        <v>291</v>
      </c>
      <c r="J88" s="45" t="s">
        <v>292</v>
      </c>
      <c r="K88" s="45" t="s">
        <v>65</v>
      </c>
      <c r="L88" s="45" t="s">
        <v>65</v>
      </c>
      <c r="M88" s="45" t="s">
        <v>293</v>
      </c>
    </row>
    <row r="89" spans="1:13" ht="48" customHeight="1" x14ac:dyDescent="0.3">
      <c r="A89" s="45" t="s">
        <v>302</v>
      </c>
      <c r="B89" s="45" t="s">
        <v>287</v>
      </c>
      <c r="C89" s="45" t="s">
        <v>303</v>
      </c>
      <c r="D89" s="45" t="s">
        <v>58</v>
      </c>
      <c r="E89" s="45" t="s">
        <v>59</v>
      </c>
      <c r="F89" s="45" t="s">
        <v>60</v>
      </c>
      <c r="G89" s="45" t="s">
        <v>289</v>
      </c>
      <c r="H89" s="45" t="s">
        <v>290</v>
      </c>
      <c r="I89" s="45" t="s">
        <v>291</v>
      </c>
      <c r="J89" s="45" t="s">
        <v>292</v>
      </c>
      <c r="K89" s="45" t="s">
        <v>65</v>
      </c>
      <c r="L89" s="45" t="s">
        <v>65</v>
      </c>
      <c r="M89" s="45" t="s">
        <v>293</v>
      </c>
    </row>
    <row r="90" spans="1:13" ht="48" customHeight="1" x14ac:dyDescent="0.3">
      <c r="A90" s="45" t="s">
        <v>304</v>
      </c>
      <c r="B90" s="45" t="s">
        <v>287</v>
      </c>
      <c r="C90" s="45" t="s">
        <v>305</v>
      </c>
      <c r="D90" s="45" t="s">
        <v>58</v>
      </c>
      <c r="E90" s="45" t="s">
        <v>59</v>
      </c>
      <c r="F90" s="45" t="s">
        <v>60</v>
      </c>
      <c r="G90" s="45" t="s">
        <v>289</v>
      </c>
      <c r="H90" s="45" t="s">
        <v>290</v>
      </c>
      <c r="I90" s="45" t="s">
        <v>291</v>
      </c>
      <c r="J90" s="45" t="s">
        <v>292</v>
      </c>
      <c r="K90" s="45" t="s">
        <v>65</v>
      </c>
      <c r="L90" s="45" t="s">
        <v>65</v>
      </c>
      <c r="M90" s="45" t="s">
        <v>293</v>
      </c>
    </row>
    <row r="91" spans="1:13" ht="48" customHeight="1" x14ac:dyDescent="0.3">
      <c r="A91" s="45" t="s">
        <v>306</v>
      </c>
      <c r="B91" s="45" t="s">
        <v>287</v>
      </c>
      <c r="C91" s="45" t="s">
        <v>307</v>
      </c>
      <c r="D91" s="45" t="s">
        <v>58</v>
      </c>
      <c r="E91" s="45" t="s">
        <v>59</v>
      </c>
      <c r="F91" s="45" t="s">
        <v>60</v>
      </c>
      <c r="G91" s="45" t="s">
        <v>289</v>
      </c>
      <c r="H91" s="45" t="s">
        <v>290</v>
      </c>
      <c r="I91" s="45" t="s">
        <v>291</v>
      </c>
      <c r="J91" s="45" t="s">
        <v>292</v>
      </c>
      <c r="K91" s="45" t="s">
        <v>65</v>
      </c>
      <c r="L91" s="45" t="s">
        <v>65</v>
      </c>
      <c r="M91" s="45" t="s">
        <v>293</v>
      </c>
    </row>
    <row r="92" spans="1:13" ht="48" customHeight="1" x14ac:dyDescent="0.3">
      <c r="A92" s="45" t="s">
        <v>308</v>
      </c>
      <c r="B92" s="45" t="s">
        <v>287</v>
      </c>
      <c r="C92" s="45" t="s">
        <v>309</v>
      </c>
      <c r="D92" s="45" t="s">
        <v>58</v>
      </c>
      <c r="E92" s="45" t="s">
        <v>59</v>
      </c>
      <c r="F92" s="45" t="s">
        <v>60</v>
      </c>
      <c r="G92" s="45" t="s">
        <v>289</v>
      </c>
      <c r="H92" s="45" t="s">
        <v>290</v>
      </c>
      <c r="I92" s="45" t="s">
        <v>291</v>
      </c>
      <c r="J92" s="45" t="s">
        <v>292</v>
      </c>
      <c r="K92" s="45" t="s">
        <v>65</v>
      </c>
      <c r="L92" s="45" t="s">
        <v>65</v>
      </c>
      <c r="M92" s="45" t="s">
        <v>293</v>
      </c>
    </row>
    <row r="93" spans="1:13" ht="48" customHeight="1" x14ac:dyDescent="0.3">
      <c r="A93" s="45" t="s">
        <v>310</v>
      </c>
      <c r="B93" s="45" t="s">
        <v>287</v>
      </c>
      <c r="C93" s="45" t="s">
        <v>311</v>
      </c>
      <c r="D93" s="45" t="s">
        <v>58</v>
      </c>
      <c r="E93" s="45" t="s">
        <v>59</v>
      </c>
      <c r="F93" s="45" t="s">
        <v>60</v>
      </c>
      <c r="G93" s="45" t="s">
        <v>289</v>
      </c>
      <c r="H93" s="45" t="s">
        <v>290</v>
      </c>
      <c r="I93" s="45" t="s">
        <v>291</v>
      </c>
      <c r="J93" s="45" t="s">
        <v>292</v>
      </c>
      <c r="K93" s="45" t="s">
        <v>65</v>
      </c>
      <c r="L93" s="45" t="s">
        <v>65</v>
      </c>
      <c r="M93" s="45" t="s">
        <v>293</v>
      </c>
    </row>
    <row r="94" spans="1:13" ht="48" customHeight="1" x14ac:dyDescent="0.3">
      <c r="A94" s="45" t="s">
        <v>312</v>
      </c>
      <c r="B94" s="45" t="s">
        <v>287</v>
      </c>
      <c r="C94" s="45" t="s">
        <v>313</v>
      </c>
      <c r="D94" s="45" t="s">
        <v>58</v>
      </c>
      <c r="E94" s="45" t="s">
        <v>59</v>
      </c>
      <c r="F94" s="45" t="s">
        <v>60</v>
      </c>
      <c r="G94" s="45" t="s">
        <v>289</v>
      </c>
      <c r="H94" s="45" t="s">
        <v>290</v>
      </c>
      <c r="I94" s="45" t="s">
        <v>291</v>
      </c>
      <c r="J94" s="45" t="s">
        <v>292</v>
      </c>
      <c r="K94" s="45" t="s">
        <v>65</v>
      </c>
      <c r="L94" s="45" t="s">
        <v>65</v>
      </c>
      <c r="M94" s="45" t="s">
        <v>293</v>
      </c>
    </row>
    <row r="95" spans="1:13" ht="48" customHeight="1" x14ac:dyDescent="0.3">
      <c r="A95" s="45" t="s">
        <v>314</v>
      </c>
      <c r="B95" s="45" t="s">
        <v>287</v>
      </c>
      <c r="C95" s="45" t="s">
        <v>315</v>
      </c>
      <c r="D95" s="45" t="s">
        <v>58</v>
      </c>
      <c r="E95" s="45" t="s">
        <v>59</v>
      </c>
      <c r="F95" s="45" t="s">
        <v>60</v>
      </c>
      <c r="G95" s="45" t="s">
        <v>289</v>
      </c>
      <c r="H95" s="45" t="s">
        <v>290</v>
      </c>
      <c r="I95" s="45" t="s">
        <v>291</v>
      </c>
      <c r="J95" s="45" t="s">
        <v>292</v>
      </c>
      <c r="K95" s="45" t="s">
        <v>65</v>
      </c>
      <c r="L95" s="45" t="s">
        <v>65</v>
      </c>
      <c r="M95" s="45" t="s">
        <v>293</v>
      </c>
    </row>
    <row r="96" spans="1:13" ht="48" customHeight="1" x14ac:dyDescent="0.3">
      <c r="A96" s="45" t="s">
        <v>316</v>
      </c>
      <c r="B96" s="45" t="s">
        <v>317</v>
      </c>
      <c r="C96" s="45" t="s">
        <v>318</v>
      </c>
      <c r="D96" s="45" t="s">
        <v>58</v>
      </c>
      <c r="E96" s="45" t="s">
        <v>59</v>
      </c>
      <c r="F96" s="45" t="s">
        <v>60</v>
      </c>
      <c r="G96" s="45" t="s">
        <v>289</v>
      </c>
      <c r="H96" s="45" t="s">
        <v>290</v>
      </c>
      <c r="I96" s="45" t="s">
        <v>291</v>
      </c>
      <c r="J96" s="45" t="s">
        <v>292</v>
      </c>
      <c r="K96" s="45" t="s">
        <v>65</v>
      </c>
      <c r="L96" s="45" t="s">
        <v>65</v>
      </c>
      <c r="M96" s="45" t="s">
        <v>293</v>
      </c>
    </row>
    <row r="97" spans="1:13" ht="48" customHeight="1" x14ac:dyDescent="0.3">
      <c r="A97" s="45" t="s">
        <v>319</v>
      </c>
      <c r="B97" s="45" t="s">
        <v>317</v>
      </c>
      <c r="C97" s="45" t="s">
        <v>320</v>
      </c>
      <c r="D97" s="45" t="s">
        <v>58</v>
      </c>
      <c r="E97" s="45" t="s">
        <v>59</v>
      </c>
      <c r="F97" s="45" t="s">
        <v>60</v>
      </c>
      <c r="G97" s="45" t="s">
        <v>289</v>
      </c>
      <c r="H97" s="45" t="s">
        <v>290</v>
      </c>
      <c r="I97" s="45" t="s">
        <v>291</v>
      </c>
      <c r="J97" s="45" t="s">
        <v>292</v>
      </c>
      <c r="K97" s="45" t="s">
        <v>65</v>
      </c>
      <c r="L97" s="45" t="s">
        <v>65</v>
      </c>
      <c r="M97" s="45" t="s">
        <v>293</v>
      </c>
    </row>
    <row r="98" spans="1:13" ht="48" customHeight="1" x14ac:dyDescent="0.3">
      <c r="A98" s="45" t="s">
        <v>321</v>
      </c>
      <c r="B98" s="45" t="s">
        <v>317</v>
      </c>
      <c r="C98" s="45" t="s">
        <v>322</v>
      </c>
      <c r="D98" s="45" t="s">
        <v>58</v>
      </c>
      <c r="E98" s="45" t="s">
        <v>59</v>
      </c>
      <c r="F98" s="45" t="s">
        <v>60</v>
      </c>
      <c r="G98" s="45" t="s">
        <v>289</v>
      </c>
      <c r="H98" s="45" t="s">
        <v>290</v>
      </c>
      <c r="I98" s="45" t="s">
        <v>291</v>
      </c>
      <c r="J98" s="45" t="s">
        <v>292</v>
      </c>
      <c r="K98" s="45" t="s">
        <v>65</v>
      </c>
      <c r="L98" s="45" t="s">
        <v>65</v>
      </c>
      <c r="M98" s="45" t="s">
        <v>293</v>
      </c>
    </row>
    <row r="99" spans="1:13" ht="48" customHeight="1" x14ac:dyDescent="0.3">
      <c r="A99" s="45" t="s">
        <v>323</v>
      </c>
      <c r="B99" s="45" t="s">
        <v>317</v>
      </c>
      <c r="C99" s="45" t="s">
        <v>324</v>
      </c>
      <c r="D99" s="45" t="s">
        <v>58</v>
      </c>
      <c r="E99" s="45" t="s">
        <v>59</v>
      </c>
      <c r="F99" s="45" t="s">
        <v>60</v>
      </c>
      <c r="G99" s="45" t="s">
        <v>289</v>
      </c>
      <c r="H99" s="45" t="s">
        <v>290</v>
      </c>
      <c r="I99" s="45" t="s">
        <v>291</v>
      </c>
      <c r="J99" s="45" t="s">
        <v>292</v>
      </c>
      <c r="K99" s="45" t="s">
        <v>65</v>
      </c>
      <c r="L99" s="45" t="s">
        <v>65</v>
      </c>
      <c r="M99" s="45" t="s">
        <v>293</v>
      </c>
    </row>
    <row r="100" spans="1:13" ht="48" customHeight="1" x14ac:dyDescent="0.3">
      <c r="A100" s="45" t="s">
        <v>325</v>
      </c>
      <c r="B100" s="45" t="s">
        <v>317</v>
      </c>
      <c r="C100" s="45" t="s">
        <v>326</v>
      </c>
      <c r="D100" s="45" t="s">
        <v>58</v>
      </c>
      <c r="E100" s="45" t="s">
        <v>59</v>
      </c>
      <c r="F100" s="45" t="s">
        <v>60</v>
      </c>
      <c r="G100" s="45" t="s">
        <v>289</v>
      </c>
      <c r="H100" s="45" t="s">
        <v>290</v>
      </c>
      <c r="I100" s="45" t="s">
        <v>291</v>
      </c>
      <c r="J100" s="45" t="s">
        <v>327</v>
      </c>
      <c r="K100" s="45" t="s">
        <v>328</v>
      </c>
      <c r="L100" s="45" t="s">
        <v>79</v>
      </c>
      <c r="M100" s="45" t="s">
        <v>293</v>
      </c>
    </row>
    <row r="101" spans="1:13" ht="48" customHeight="1" x14ac:dyDescent="0.3">
      <c r="A101" s="45" t="s">
        <v>329</v>
      </c>
      <c r="B101" s="45" t="s">
        <v>317</v>
      </c>
      <c r="C101" s="45" t="s">
        <v>330</v>
      </c>
      <c r="D101" s="45" t="s">
        <v>76</v>
      </c>
      <c r="E101" s="45" t="s">
        <v>59</v>
      </c>
      <c r="F101" s="45" t="s">
        <v>60</v>
      </c>
      <c r="G101" s="45" t="s">
        <v>289</v>
      </c>
      <c r="H101" s="45" t="s">
        <v>290</v>
      </c>
      <c r="I101" s="45" t="s">
        <v>291</v>
      </c>
      <c r="J101" s="45" t="s">
        <v>331</v>
      </c>
      <c r="K101" s="45" t="s">
        <v>65</v>
      </c>
      <c r="L101" s="45" t="s">
        <v>65</v>
      </c>
      <c r="M101" s="45" t="s">
        <v>293</v>
      </c>
    </row>
    <row r="102" spans="1:13" ht="48" customHeight="1" x14ac:dyDescent="0.3">
      <c r="A102" s="45" t="s">
        <v>332</v>
      </c>
      <c r="B102" s="45" t="s">
        <v>317</v>
      </c>
      <c r="C102" s="45" t="s">
        <v>333</v>
      </c>
      <c r="D102" s="45" t="s">
        <v>58</v>
      </c>
      <c r="E102" s="45" t="s">
        <v>59</v>
      </c>
      <c r="F102" s="45" t="s">
        <v>60</v>
      </c>
      <c r="G102" s="45" t="s">
        <v>289</v>
      </c>
      <c r="H102" s="45" t="s">
        <v>290</v>
      </c>
      <c r="I102" s="45" t="s">
        <v>291</v>
      </c>
      <c r="J102" s="45" t="s">
        <v>292</v>
      </c>
      <c r="K102" s="45" t="s">
        <v>65</v>
      </c>
      <c r="L102" s="45" t="s">
        <v>65</v>
      </c>
      <c r="M102" s="45" t="s">
        <v>293</v>
      </c>
    </row>
    <row r="103" spans="1:13" ht="48" customHeight="1" x14ac:dyDescent="0.3">
      <c r="A103" s="45" t="s">
        <v>334</v>
      </c>
      <c r="B103" s="45" t="s">
        <v>317</v>
      </c>
      <c r="C103" s="45" t="s">
        <v>335</v>
      </c>
      <c r="D103" s="45" t="s">
        <v>58</v>
      </c>
      <c r="E103" s="45" t="s">
        <v>59</v>
      </c>
      <c r="F103" s="45" t="s">
        <v>60</v>
      </c>
      <c r="G103" s="45" t="s">
        <v>289</v>
      </c>
      <c r="H103" s="45" t="s">
        <v>290</v>
      </c>
      <c r="I103" s="45" t="s">
        <v>291</v>
      </c>
      <c r="J103" s="45" t="s">
        <v>327</v>
      </c>
      <c r="K103" s="45" t="s">
        <v>328</v>
      </c>
      <c r="L103" s="45" t="s">
        <v>79</v>
      </c>
      <c r="M103" s="45" t="s">
        <v>293</v>
      </c>
    </row>
    <row r="104" spans="1:13" ht="48" customHeight="1" x14ac:dyDescent="0.3">
      <c r="A104" s="45" t="s">
        <v>336</v>
      </c>
      <c r="B104" s="45" t="s">
        <v>317</v>
      </c>
      <c r="C104" s="45" t="s">
        <v>337</v>
      </c>
      <c r="D104" s="45" t="s">
        <v>58</v>
      </c>
      <c r="E104" s="45" t="s">
        <v>59</v>
      </c>
      <c r="F104" s="45" t="s">
        <v>60</v>
      </c>
      <c r="G104" s="45" t="s">
        <v>289</v>
      </c>
      <c r="H104" s="45" t="s">
        <v>290</v>
      </c>
      <c r="I104" s="45" t="s">
        <v>291</v>
      </c>
      <c r="J104" s="45" t="s">
        <v>292</v>
      </c>
      <c r="K104" s="45" t="s">
        <v>65</v>
      </c>
      <c r="L104" s="45" t="s">
        <v>65</v>
      </c>
      <c r="M104" s="45" t="s">
        <v>293</v>
      </c>
    </row>
    <row r="105" spans="1:13" ht="48" customHeight="1" x14ac:dyDescent="0.3">
      <c r="A105" s="45" t="s">
        <v>338</v>
      </c>
      <c r="B105" s="45" t="s">
        <v>317</v>
      </c>
      <c r="C105" s="45" t="s">
        <v>339</v>
      </c>
      <c r="D105" s="45" t="s">
        <v>58</v>
      </c>
      <c r="E105" s="45" t="s">
        <v>59</v>
      </c>
      <c r="F105" s="45" t="s">
        <v>60</v>
      </c>
      <c r="G105" s="45" t="s">
        <v>289</v>
      </c>
      <c r="H105" s="45" t="s">
        <v>290</v>
      </c>
      <c r="I105" s="45" t="s">
        <v>291</v>
      </c>
      <c r="J105" s="45" t="s">
        <v>292</v>
      </c>
      <c r="K105" s="45" t="s">
        <v>65</v>
      </c>
      <c r="L105" s="45" t="s">
        <v>65</v>
      </c>
      <c r="M105" s="45" t="s">
        <v>293</v>
      </c>
    </row>
    <row r="106" spans="1:13" ht="48" customHeight="1" x14ac:dyDescent="0.3">
      <c r="A106" s="45" t="s">
        <v>340</v>
      </c>
      <c r="B106" s="45" t="s">
        <v>317</v>
      </c>
      <c r="C106" s="45" t="s">
        <v>341</v>
      </c>
      <c r="D106" s="45" t="s">
        <v>58</v>
      </c>
      <c r="E106" s="45" t="s">
        <v>59</v>
      </c>
      <c r="F106" s="45" t="s">
        <v>60</v>
      </c>
      <c r="G106" s="45" t="s">
        <v>289</v>
      </c>
      <c r="H106" s="45" t="s">
        <v>290</v>
      </c>
      <c r="I106" s="45" t="s">
        <v>291</v>
      </c>
      <c r="J106" s="45" t="s">
        <v>292</v>
      </c>
      <c r="K106" s="45" t="s">
        <v>65</v>
      </c>
      <c r="L106" s="45" t="s">
        <v>65</v>
      </c>
      <c r="M106" s="45" t="s">
        <v>293</v>
      </c>
    </row>
    <row r="107" spans="1:13" ht="48" customHeight="1" x14ac:dyDescent="0.3">
      <c r="A107" s="45" t="s">
        <v>342</v>
      </c>
      <c r="B107" s="45" t="s">
        <v>317</v>
      </c>
      <c r="C107" s="45" t="s">
        <v>343</v>
      </c>
      <c r="D107" s="45" t="s">
        <v>58</v>
      </c>
      <c r="E107" s="45" t="s">
        <v>59</v>
      </c>
      <c r="F107" s="45" t="s">
        <v>60</v>
      </c>
      <c r="G107" s="45" t="s">
        <v>289</v>
      </c>
      <c r="H107" s="45" t="s">
        <v>290</v>
      </c>
      <c r="I107" s="45" t="s">
        <v>291</v>
      </c>
      <c r="J107" s="45" t="s">
        <v>292</v>
      </c>
      <c r="K107" s="45" t="s">
        <v>65</v>
      </c>
      <c r="L107" s="45" t="s">
        <v>65</v>
      </c>
      <c r="M107" s="45" t="s">
        <v>293</v>
      </c>
    </row>
    <row r="108" spans="1:13" ht="48" customHeight="1" x14ac:dyDescent="0.3">
      <c r="A108" s="45" t="s">
        <v>344</v>
      </c>
      <c r="B108" s="45" t="s">
        <v>317</v>
      </c>
      <c r="C108" s="45" t="s">
        <v>345</v>
      </c>
      <c r="D108" s="45" t="s">
        <v>76</v>
      </c>
      <c r="E108" s="45" t="s">
        <v>59</v>
      </c>
      <c r="F108" s="45" t="s">
        <v>60</v>
      </c>
      <c r="G108" s="45" t="s">
        <v>289</v>
      </c>
      <c r="H108" s="45" t="s">
        <v>290</v>
      </c>
      <c r="I108" s="45" t="s">
        <v>291</v>
      </c>
      <c r="J108" s="45" t="s">
        <v>292</v>
      </c>
      <c r="K108" s="45" t="s">
        <v>65</v>
      </c>
      <c r="L108" s="45" t="s">
        <v>65</v>
      </c>
      <c r="M108" s="45" t="s">
        <v>346</v>
      </c>
    </row>
    <row r="109" spans="1:13" ht="48" customHeight="1" x14ac:dyDescent="0.3">
      <c r="A109" s="45" t="s">
        <v>347</v>
      </c>
      <c r="B109" s="45" t="s">
        <v>317</v>
      </c>
      <c r="C109" s="45" t="s">
        <v>348</v>
      </c>
      <c r="D109" s="45" t="s">
        <v>76</v>
      </c>
      <c r="E109" s="45" t="s">
        <v>59</v>
      </c>
      <c r="F109" s="45" t="s">
        <v>60</v>
      </c>
      <c r="G109" s="45" t="s">
        <v>289</v>
      </c>
      <c r="H109" s="45" t="s">
        <v>290</v>
      </c>
      <c r="I109" s="45" t="s">
        <v>291</v>
      </c>
      <c r="J109" s="45" t="s">
        <v>292</v>
      </c>
      <c r="K109" s="45" t="s">
        <v>65</v>
      </c>
      <c r="L109" s="45" t="s">
        <v>65</v>
      </c>
      <c r="M109" s="45" t="s">
        <v>346</v>
      </c>
    </row>
    <row r="110" spans="1:13" ht="48" customHeight="1" x14ac:dyDescent="0.3">
      <c r="A110" s="45" t="s">
        <v>349</v>
      </c>
      <c r="B110" s="45" t="s">
        <v>317</v>
      </c>
      <c r="C110" s="45" t="s">
        <v>350</v>
      </c>
      <c r="D110" s="45" t="s">
        <v>58</v>
      </c>
      <c r="E110" s="45" t="s">
        <v>59</v>
      </c>
      <c r="F110" s="45" t="s">
        <v>60</v>
      </c>
      <c r="G110" s="45" t="s">
        <v>289</v>
      </c>
      <c r="H110" s="45" t="s">
        <v>290</v>
      </c>
      <c r="I110" s="45" t="s">
        <v>291</v>
      </c>
      <c r="J110" s="45" t="s">
        <v>292</v>
      </c>
      <c r="K110" s="45" t="s">
        <v>65</v>
      </c>
      <c r="L110" s="45" t="s">
        <v>65</v>
      </c>
      <c r="M110" s="45" t="s">
        <v>346</v>
      </c>
    </row>
    <row r="111" spans="1:13" ht="48" customHeight="1" x14ac:dyDescent="0.3">
      <c r="A111" s="45" t="s">
        <v>351</v>
      </c>
      <c r="B111" s="45" t="s">
        <v>317</v>
      </c>
      <c r="C111" s="45" t="s">
        <v>352</v>
      </c>
      <c r="D111" s="45" t="s">
        <v>58</v>
      </c>
      <c r="E111" s="45" t="s">
        <v>59</v>
      </c>
      <c r="F111" s="45" t="s">
        <v>60</v>
      </c>
      <c r="G111" s="45" t="s">
        <v>289</v>
      </c>
      <c r="H111" s="45" t="s">
        <v>290</v>
      </c>
      <c r="I111" s="45" t="s">
        <v>291</v>
      </c>
      <c r="J111" s="45" t="s">
        <v>327</v>
      </c>
      <c r="K111" s="45" t="s">
        <v>328</v>
      </c>
      <c r="L111" s="45" t="s">
        <v>79</v>
      </c>
      <c r="M111" s="45" t="s">
        <v>346</v>
      </c>
    </row>
    <row r="112" spans="1:13" ht="48" customHeight="1" x14ac:dyDescent="0.3">
      <c r="A112" s="45" t="s">
        <v>353</v>
      </c>
      <c r="B112" s="45" t="s">
        <v>317</v>
      </c>
      <c r="C112" s="45" t="s">
        <v>354</v>
      </c>
      <c r="D112" s="45" t="s">
        <v>58</v>
      </c>
      <c r="E112" s="45" t="s">
        <v>59</v>
      </c>
      <c r="F112" s="45" t="s">
        <v>60</v>
      </c>
      <c r="G112" s="45" t="s">
        <v>289</v>
      </c>
      <c r="H112" s="45" t="s">
        <v>290</v>
      </c>
      <c r="I112" s="45" t="s">
        <v>291</v>
      </c>
      <c r="J112" s="45" t="s">
        <v>292</v>
      </c>
      <c r="K112" s="45" t="s">
        <v>65</v>
      </c>
      <c r="L112" s="45" t="s">
        <v>65</v>
      </c>
      <c r="M112" s="45" t="s">
        <v>346</v>
      </c>
    </row>
    <row r="113" spans="1:13" ht="48" customHeight="1" x14ac:dyDescent="0.3">
      <c r="A113" s="45" t="s">
        <v>355</v>
      </c>
      <c r="B113" s="45" t="s">
        <v>317</v>
      </c>
      <c r="C113" s="45" t="s">
        <v>356</v>
      </c>
      <c r="D113" s="45" t="s">
        <v>58</v>
      </c>
      <c r="E113" s="45" t="s">
        <v>59</v>
      </c>
      <c r="F113" s="45" t="s">
        <v>60</v>
      </c>
      <c r="G113" s="45" t="s">
        <v>289</v>
      </c>
      <c r="H113" s="45" t="s">
        <v>290</v>
      </c>
      <c r="I113" s="45" t="s">
        <v>291</v>
      </c>
      <c r="J113" s="45" t="s">
        <v>327</v>
      </c>
      <c r="K113" s="45" t="s">
        <v>328</v>
      </c>
      <c r="L113" s="45" t="s">
        <v>79</v>
      </c>
      <c r="M113" s="45" t="s">
        <v>346</v>
      </c>
    </row>
    <row r="114" spans="1:13" ht="48" customHeight="1" x14ac:dyDescent="0.3">
      <c r="A114" s="45" t="s">
        <v>357</v>
      </c>
      <c r="B114" s="45" t="s">
        <v>317</v>
      </c>
      <c r="C114" s="45" t="s">
        <v>358</v>
      </c>
      <c r="D114" s="45" t="s">
        <v>76</v>
      </c>
      <c r="E114" s="45" t="s">
        <v>59</v>
      </c>
      <c r="F114" s="45" t="s">
        <v>60</v>
      </c>
      <c r="G114" s="45" t="s">
        <v>289</v>
      </c>
      <c r="H114" s="45" t="s">
        <v>290</v>
      </c>
      <c r="I114" s="45" t="s">
        <v>291</v>
      </c>
      <c r="J114" s="45" t="s">
        <v>292</v>
      </c>
      <c r="K114" s="45" t="s">
        <v>65</v>
      </c>
      <c r="L114" s="45" t="s">
        <v>65</v>
      </c>
      <c r="M114" s="45" t="s">
        <v>346</v>
      </c>
    </row>
    <row r="115" spans="1:13" ht="48" customHeight="1" x14ac:dyDescent="0.3">
      <c r="A115" s="45" t="s">
        <v>359</v>
      </c>
      <c r="B115" s="45" t="s">
        <v>317</v>
      </c>
      <c r="C115" s="45" t="s">
        <v>360</v>
      </c>
      <c r="D115" s="45" t="s">
        <v>76</v>
      </c>
      <c r="E115" s="45" t="s">
        <v>59</v>
      </c>
      <c r="F115" s="45" t="s">
        <v>60</v>
      </c>
      <c r="G115" s="45" t="s">
        <v>289</v>
      </c>
      <c r="H115" s="45" t="s">
        <v>290</v>
      </c>
      <c r="I115" s="45" t="s">
        <v>291</v>
      </c>
      <c r="J115" s="45" t="s">
        <v>292</v>
      </c>
      <c r="K115" s="45" t="s">
        <v>65</v>
      </c>
      <c r="L115" s="45" t="s">
        <v>65</v>
      </c>
      <c r="M115" s="45" t="s">
        <v>346</v>
      </c>
    </row>
    <row r="116" spans="1:13" ht="48" customHeight="1" x14ac:dyDescent="0.3">
      <c r="A116" s="45" t="s">
        <v>361</v>
      </c>
      <c r="B116" s="45" t="s">
        <v>287</v>
      </c>
      <c r="C116" s="45" t="s">
        <v>362</v>
      </c>
      <c r="D116" s="45" t="s">
        <v>58</v>
      </c>
      <c r="E116" s="45" t="s">
        <v>59</v>
      </c>
      <c r="F116" s="45" t="s">
        <v>60</v>
      </c>
      <c r="G116" s="45" t="s">
        <v>289</v>
      </c>
      <c r="H116" s="45" t="s">
        <v>290</v>
      </c>
      <c r="I116" s="45" t="s">
        <v>291</v>
      </c>
      <c r="J116" s="45" t="s">
        <v>292</v>
      </c>
      <c r="K116" s="45" t="s">
        <v>65</v>
      </c>
      <c r="L116" s="45" t="s">
        <v>65</v>
      </c>
      <c r="M116" s="45" t="s">
        <v>346</v>
      </c>
    </row>
    <row r="117" spans="1:13" ht="48" customHeight="1" x14ac:dyDescent="0.3">
      <c r="A117" s="45" t="s">
        <v>363</v>
      </c>
      <c r="B117" s="45" t="s">
        <v>287</v>
      </c>
      <c r="C117" s="45" t="s">
        <v>364</v>
      </c>
      <c r="D117" s="45" t="s">
        <v>58</v>
      </c>
      <c r="E117" s="45" t="s">
        <v>59</v>
      </c>
      <c r="F117" s="45" t="s">
        <v>60</v>
      </c>
      <c r="G117" s="45" t="s">
        <v>289</v>
      </c>
      <c r="H117" s="45" t="s">
        <v>290</v>
      </c>
      <c r="I117" s="45" t="s">
        <v>291</v>
      </c>
      <c r="J117" s="45" t="s">
        <v>292</v>
      </c>
      <c r="K117" s="45" t="s">
        <v>65</v>
      </c>
      <c r="L117" s="45" t="s">
        <v>65</v>
      </c>
      <c r="M117" s="45" t="s">
        <v>346</v>
      </c>
    </row>
    <row r="118" spans="1:13" ht="48" customHeight="1" x14ac:dyDescent="0.3">
      <c r="A118" s="45" t="s">
        <v>365</v>
      </c>
      <c r="B118" s="45" t="s">
        <v>287</v>
      </c>
      <c r="C118" s="45" t="s">
        <v>366</v>
      </c>
      <c r="D118" s="45" t="s">
        <v>58</v>
      </c>
      <c r="E118" s="45" t="s">
        <v>59</v>
      </c>
      <c r="F118" s="45" t="s">
        <v>60</v>
      </c>
      <c r="G118" s="45" t="s">
        <v>289</v>
      </c>
      <c r="H118" s="45" t="s">
        <v>290</v>
      </c>
      <c r="I118" s="45" t="s">
        <v>291</v>
      </c>
      <c r="J118" s="45" t="s">
        <v>292</v>
      </c>
      <c r="K118" s="45" t="s">
        <v>65</v>
      </c>
      <c r="L118" s="45" t="s">
        <v>65</v>
      </c>
      <c r="M118" s="45" t="s">
        <v>346</v>
      </c>
    </row>
    <row r="119" spans="1:13" ht="48" customHeight="1" x14ac:dyDescent="0.3">
      <c r="A119" s="45" t="s">
        <v>367</v>
      </c>
      <c r="B119" s="45" t="s">
        <v>287</v>
      </c>
      <c r="C119" s="45" t="s">
        <v>368</v>
      </c>
      <c r="D119" s="45" t="s">
        <v>58</v>
      </c>
      <c r="E119" s="45" t="s">
        <v>59</v>
      </c>
      <c r="F119" s="45" t="s">
        <v>60</v>
      </c>
      <c r="G119" s="45" t="s">
        <v>289</v>
      </c>
      <c r="H119" s="45" t="s">
        <v>290</v>
      </c>
      <c r="I119" s="45" t="s">
        <v>291</v>
      </c>
      <c r="J119" s="45" t="s">
        <v>292</v>
      </c>
      <c r="K119" s="45" t="s">
        <v>65</v>
      </c>
      <c r="L119" s="45" t="s">
        <v>65</v>
      </c>
      <c r="M119" s="45" t="s">
        <v>346</v>
      </c>
    </row>
    <row r="120" spans="1:13" ht="48" customHeight="1" x14ac:dyDescent="0.3">
      <c r="A120" s="45" t="s">
        <v>369</v>
      </c>
      <c r="B120" s="45" t="s">
        <v>287</v>
      </c>
      <c r="C120" s="45" t="s">
        <v>370</v>
      </c>
      <c r="D120" s="45" t="s">
        <v>76</v>
      </c>
      <c r="E120" s="45" t="s">
        <v>59</v>
      </c>
      <c r="F120" s="45" t="s">
        <v>60</v>
      </c>
      <c r="G120" s="45" t="s">
        <v>289</v>
      </c>
      <c r="H120" s="45" t="s">
        <v>290</v>
      </c>
      <c r="I120" s="45" t="s">
        <v>291</v>
      </c>
      <c r="J120" s="45" t="s">
        <v>292</v>
      </c>
      <c r="K120" s="45" t="s">
        <v>65</v>
      </c>
      <c r="L120" s="45" t="s">
        <v>65</v>
      </c>
      <c r="M120" s="45" t="s">
        <v>346</v>
      </c>
    </row>
    <row r="121" spans="1:13" ht="48" customHeight="1" x14ac:dyDescent="0.3">
      <c r="A121" s="45" t="s">
        <v>371</v>
      </c>
      <c r="B121" s="45" t="s">
        <v>287</v>
      </c>
      <c r="C121" s="45" t="s">
        <v>372</v>
      </c>
      <c r="D121" s="45" t="s">
        <v>58</v>
      </c>
      <c r="E121" s="45" t="s">
        <v>59</v>
      </c>
      <c r="F121" s="45" t="s">
        <v>60</v>
      </c>
      <c r="G121" s="45" t="s">
        <v>289</v>
      </c>
      <c r="H121" s="45" t="s">
        <v>290</v>
      </c>
      <c r="I121" s="45" t="s">
        <v>291</v>
      </c>
      <c r="J121" s="45" t="s">
        <v>292</v>
      </c>
      <c r="K121" s="45" t="s">
        <v>65</v>
      </c>
      <c r="L121" s="45" t="s">
        <v>65</v>
      </c>
      <c r="M121" s="45" t="s">
        <v>346</v>
      </c>
    </row>
    <row r="122" spans="1:13" ht="48" customHeight="1" x14ac:dyDescent="0.3">
      <c r="A122" s="45" t="s">
        <v>373</v>
      </c>
      <c r="B122" s="45" t="s">
        <v>287</v>
      </c>
      <c r="C122" s="45" t="s">
        <v>374</v>
      </c>
      <c r="D122" s="45" t="s">
        <v>58</v>
      </c>
      <c r="E122" s="45" t="s">
        <v>59</v>
      </c>
      <c r="F122" s="45" t="s">
        <v>60</v>
      </c>
      <c r="G122" s="45" t="s">
        <v>289</v>
      </c>
      <c r="H122" s="45" t="s">
        <v>290</v>
      </c>
      <c r="I122" s="45" t="s">
        <v>291</v>
      </c>
      <c r="J122" s="45" t="s">
        <v>292</v>
      </c>
      <c r="K122" s="45" t="s">
        <v>65</v>
      </c>
      <c r="L122" s="45" t="s">
        <v>65</v>
      </c>
      <c r="M122" s="45" t="s">
        <v>346</v>
      </c>
    </row>
    <row r="123" spans="1:13" ht="48" customHeight="1" x14ac:dyDescent="0.3">
      <c r="A123" s="45" t="s">
        <v>375</v>
      </c>
      <c r="B123" s="45" t="s">
        <v>287</v>
      </c>
      <c r="C123" s="45" t="s">
        <v>376</v>
      </c>
      <c r="D123" s="45" t="s">
        <v>58</v>
      </c>
      <c r="E123" s="45" t="s">
        <v>59</v>
      </c>
      <c r="F123" s="45" t="s">
        <v>60</v>
      </c>
      <c r="G123" s="45" t="s">
        <v>289</v>
      </c>
      <c r="H123" s="45" t="s">
        <v>290</v>
      </c>
      <c r="I123" s="45" t="s">
        <v>291</v>
      </c>
      <c r="J123" s="45" t="s">
        <v>292</v>
      </c>
      <c r="K123" s="45" t="s">
        <v>65</v>
      </c>
      <c r="L123" s="45" t="s">
        <v>65</v>
      </c>
      <c r="M123" s="45" t="s">
        <v>346</v>
      </c>
    </row>
    <row r="124" spans="1:13" ht="48" customHeight="1" x14ac:dyDescent="0.3">
      <c r="A124" s="45" t="s">
        <v>377</v>
      </c>
      <c r="B124" s="45" t="s">
        <v>287</v>
      </c>
      <c r="C124" s="45" t="s">
        <v>378</v>
      </c>
      <c r="D124" s="45" t="s">
        <v>58</v>
      </c>
      <c r="E124" s="45" t="s">
        <v>59</v>
      </c>
      <c r="F124" s="45" t="s">
        <v>60</v>
      </c>
      <c r="G124" s="45" t="s">
        <v>289</v>
      </c>
      <c r="H124" s="45" t="s">
        <v>290</v>
      </c>
      <c r="I124" s="45" t="s">
        <v>291</v>
      </c>
      <c r="J124" s="45" t="s">
        <v>292</v>
      </c>
      <c r="K124" s="45" t="s">
        <v>65</v>
      </c>
      <c r="L124" s="45" t="s">
        <v>65</v>
      </c>
      <c r="M124" s="45" t="s">
        <v>346</v>
      </c>
    </row>
    <row r="125" spans="1:13" ht="48" customHeight="1" x14ac:dyDescent="0.3">
      <c r="A125" s="45" t="s">
        <v>379</v>
      </c>
      <c r="B125" s="45" t="s">
        <v>380</v>
      </c>
      <c r="C125" s="45" t="s">
        <v>381</v>
      </c>
      <c r="D125" s="45" t="s">
        <v>58</v>
      </c>
      <c r="E125" s="45" t="s">
        <v>59</v>
      </c>
      <c r="F125" s="45" t="s">
        <v>60</v>
      </c>
      <c r="G125" s="45" t="s">
        <v>289</v>
      </c>
      <c r="H125" s="45" t="s">
        <v>290</v>
      </c>
      <c r="I125" s="45" t="s">
        <v>291</v>
      </c>
      <c r="J125" s="45" t="s">
        <v>327</v>
      </c>
      <c r="K125" s="45" t="s">
        <v>328</v>
      </c>
      <c r="L125" s="45" t="s">
        <v>79</v>
      </c>
      <c r="M125" s="45" t="s">
        <v>346</v>
      </c>
    </row>
    <row r="126" spans="1:13" ht="48" customHeight="1" x14ac:dyDescent="0.3">
      <c r="A126" s="45" t="s">
        <v>382</v>
      </c>
      <c r="B126" s="45" t="s">
        <v>380</v>
      </c>
      <c r="C126" s="45" t="s">
        <v>383</v>
      </c>
      <c r="D126" s="45" t="s">
        <v>58</v>
      </c>
      <c r="E126" s="45" t="s">
        <v>59</v>
      </c>
      <c r="F126" s="45" t="s">
        <v>60</v>
      </c>
      <c r="G126" s="45" t="s">
        <v>289</v>
      </c>
      <c r="H126" s="45" t="s">
        <v>290</v>
      </c>
      <c r="I126" s="45" t="s">
        <v>291</v>
      </c>
      <c r="J126" s="45" t="s">
        <v>292</v>
      </c>
      <c r="K126" s="45" t="s">
        <v>65</v>
      </c>
      <c r="L126" s="45" t="s">
        <v>65</v>
      </c>
      <c r="M126" s="45" t="s">
        <v>346</v>
      </c>
    </row>
    <row r="127" spans="1:13" ht="48" customHeight="1" x14ac:dyDescent="0.3">
      <c r="A127" s="45" t="s">
        <v>384</v>
      </c>
      <c r="B127" s="45" t="s">
        <v>380</v>
      </c>
      <c r="C127" s="45" t="s">
        <v>385</v>
      </c>
      <c r="D127" s="45" t="s">
        <v>58</v>
      </c>
      <c r="E127" s="45" t="s">
        <v>59</v>
      </c>
      <c r="F127" s="45" t="s">
        <v>60</v>
      </c>
      <c r="G127" s="45" t="s">
        <v>289</v>
      </c>
      <c r="H127" s="45" t="s">
        <v>290</v>
      </c>
      <c r="I127" s="45" t="s">
        <v>291</v>
      </c>
      <c r="J127" s="45" t="s">
        <v>292</v>
      </c>
      <c r="K127" s="45" t="s">
        <v>65</v>
      </c>
      <c r="L127" s="45" t="s">
        <v>65</v>
      </c>
      <c r="M127" s="45" t="s">
        <v>346</v>
      </c>
    </row>
    <row r="128" spans="1:13" ht="48" customHeight="1" x14ac:dyDescent="0.3">
      <c r="A128" s="45" t="s">
        <v>386</v>
      </c>
      <c r="B128" s="45" t="s">
        <v>317</v>
      </c>
      <c r="C128" s="45" t="s">
        <v>387</v>
      </c>
      <c r="D128" s="45" t="s">
        <v>58</v>
      </c>
      <c r="E128" s="45" t="s">
        <v>59</v>
      </c>
      <c r="F128" s="45" t="s">
        <v>60</v>
      </c>
      <c r="G128" s="45" t="s">
        <v>289</v>
      </c>
      <c r="H128" s="45" t="s">
        <v>290</v>
      </c>
      <c r="I128" s="45" t="s">
        <v>291</v>
      </c>
      <c r="J128" s="45" t="s">
        <v>292</v>
      </c>
      <c r="K128" s="45" t="s">
        <v>65</v>
      </c>
      <c r="L128" s="45" t="s">
        <v>65</v>
      </c>
      <c r="M128" s="45" t="s">
        <v>346</v>
      </c>
    </row>
    <row r="129" spans="1:13" ht="48" customHeight="1" x14ac:dyDescent="0.3">
      <c r="A129" s="45" t="s">
        <v>388</v>
      </c>
      <c r="B129" s="45" t="s">
        <v>317</v>
      </c>
      <c r="C129" s="45" t="s">
        <v>389</v>
      </c>
      <c r="D129" s="45" t="s">
        <v>58</v>
      </c>
      <c r="E129" s="45" t="s">
        <v>59</v>
      </c>
      <c r="F129" s="45" t="s">
        <v>60</v>
      </c>
      <c r="G129" s="45" t="s">
        <v>289</v>
      </c>
      <c r="H129" s="45" t="s">
        <v>290</v>
      </c>
      <c r="I129" s="45" t="s">
        <v>291</v>
      </c>
      <c r="J129" s="45" t="s">
        <v>292</v>
      </c>
      <c r="K129" s="45" t="s">
        <v>65</v>
      </c>
      <c r="L129" s="45" t="s">
        <v>65</v>
      </c>
      <c r="M129" s="45" t="s">
        <v>346</v>
      </c>
    </row>
    <row r="130" spans="1:13" ht="48" customHeight="1" x14ac:dyDescent="0.3">
      <c r="A130" s="45" t="s">
        <v>390</v>
      </c>
      <c r="B130" s="45" t="s">
        <v>317</v>
      </c>
      <c r="C130" s="45" t="s">
        <v>391</v>
      </c>
      <c r="D130" s="45" t="s">
        <v>58</v>
      </c>
      <c r="E130" s="45" t="s">
        <v>59</v>
      </c>
      <c r="F130" s="45" t="s">
        <v>60</v>
      </c>
      <c r="G130" s="45" t="s">
        <v>289</v>
      </c>
      <c r="H130" s="45" t="s">
        <v>290</v>
      </c>
      <c r="I130" s="45" t="s">
        <v>291</v>
      </c>
      <c r="J130" s="45" t="s">
        <v>292</v>
      </c>
      <c r="K130" s="45" t="s">
        <v>65</v>
      </c>
      <c r="L130" s="45" t="s">
        <v>65</v>
      </c>
      <c r="M130" s="45" t="s">
        <v>346</v>
      </c>
    </row>
    <row r="131" spans="1:13" ht="48" customHeight="1" x14ac:dyDescent="0.3">
      <c r="A131" s="45" t="s">
        <v>392</v>
      </c>
      <c r="B131" s="45" t="s">
        <v>317</v>
      </c>
      <c r="C131" s="45" t="s">
        <v>393</v>
      </c>
      <c r="D131" s="45" t="s">
        <v>76</v>
      </c>
      <c r="E131" s="45" t="s">
        <v>59</v>
      </c>
      <c r="F131" s="45" t="s">
        <v>60</v>
      </c>
      <c r="G131" s="45" t="s">
        <v>289</v>
      </c>
      <c r="H131" s="45" t="s">
        <v>290</v>
      </c>
      <c r="I131" s="45" t="s">
        <v>291</v>
      </c>
      <c r="J131" s="45" t="s">
        <v>331</v>
      </c>
      <c r="K131" s="45" t="s">
        <v>65</v>
      </c>
      <c r="L131" s="45" t="s">
        <v>65</v>
      </c>
      <c r="M131" s="45" t="s">
        <v>346</v>
      </c>
    </row>
    <row r="132" spans="1:13" ht="48" customHeight="1" x14ac:dyDescent="0.3">
      <c r="A132" s="45" t="s">
        <v>394</v>
      </c>
      <c r="B132" s="45" t="s">
        <v>287</v>
      </c>
      <c r="C132" s="45" t="s">
        <v>395</v>
      </c>
      <c r="D132" s="45" t="s">
        <v>58</v>
      </c>
      <c r="E132" s="45" t="s">
        <v>59</v>
      </c>
      <c r="F132" s="45" t="s">
        <v>60</v>
      </c>
      <c r="G132" s="45" t="s">
        <v>289</v>
      </c>
      <c r="H132" s="45" t="s">
        <v>290</v>
      </c>
      <c r="I132" s="45" t="s">
        <v>291</v>
      </c>
      <c r="J132" s="45" t="s">
        <v>292</v>
      </c>
      <c r="K132" s="45" t="s">
        <v>65</v>
      </c>
      <c r="L132" s="45" t="s">
        <v>65</v>
      </c>
      <c r="M132" s="45" t="s">
        <v>396</v>
      </c>
    </row>
    <row r="133" spans="1:13" ht="48" customHeight="1" x14ac:dyDescent="0.3">
      <c r="A133" s="45" t="s">
        <v>397</v>
      </c>
      <c r="B133" s="45" t="s">
        <v>287</v>
      </c>
      <c r="C133" s="45" t="s">
        <v>398</v>
      </c>
      <c r="D133" s="45" t="s">
        <v>58</v>
      </c>
      <c r="E133" s="45" t="s">
        <v>59</v>
      </c>
      <c r="F133" s="45" t="s">
        <v>60</v>
      </c>
      <c r="G133" s="45" t="s">
        <v>289</v>
      </c>
      <c r="H133" s="45" t="s">
        <v>290</v>
      </c>
      <c r="I133" s="45" t="s">
        <v>291</v>
      </c>
      <c r="J133" s="45" t="s">
        <v>292</v>
      </c>
      <c r="K133" s="45" t="s">
        <v>65</v>
      </c>
      <c r="L133" s="45" t="s">
        <v>65</v>
      </c>
      <c r="M133" s="45" t="s">
        <v>396</v>
      </c>
    </row>
    <row r="134" spans="1:13" ht="48" customHeight="1" x14ac:dyDescent="0.3">
      <c r="A134" s="45" t="s">
        <v>399</v>
      </c>
      <c r="B134" s="45" t="s">
        <v>287</v>
      </c>
      <c r="C134" s="45" t="s">
        <v>400</v>
      </c>
      <c r="D134" s="45" t="s">
        <v>58</v>
      </c>
      <c r="E134" s="45" t="s">
        <v>59</v>
      </c>
      <c r="F134" s="45" t="s">
        <v>60</v>
      </c>
      <c r="G134" s="45" t="s">
        <v>289</v>
      </c>
      <c r="H134" s="45" t="s">
        <v>290</v>
      </c>
      <c r="I134" s="45" t="s">
        <v>291</v>
      </c>
      <c r="J134" s="45" t="s">
        <v>292</v>
      </c>
      <c r="K134" s="45" t="s">
        <v>65</v>
      </c>
      <c r="L134" s="45" t="s">
        <v>65</v>
      </c>
      <c r="M134" s="45" t="s">
        <v>396</v>
      </c>
    </row>
    <row r="135" spans="1:13" ht="48" customHeight="1" x14ac:dyDescent="0.3">
      <c r="A135" s="45" t="s">
        <v>401</v>
      </c>
      <c r="B135" s="45" t="s">
        <v>287</v>
      </c>
      <c r="C135" s="45" t="s">
        <v>402</v>
      </c>
      <c r="D135" s="45" t="s">
        <v>58</v>
      </c>
      <c r="E135" s="45" t="s">
        <v>59</v>
      </c>
      <c r="F135" s="45" t="s">
        <v>60</v>
      </c>
      <c r="G135" s="45" t="s">
        <v>289</v>
      </c>
      <c r="H135" s="45" t="s">
        <v>290</v>
      </c>
      <c r="I135" s="45" t="s">
        <v>291</v>
      </c>
      <c r="J135" s="45" t="s">
        <v>292</v>
      </c>
      <c r="K135" s="45" t="s">
        <v>65</v>
      </c>
      <c r="L135" s="45" t="s">
        <v>65</v>
      </c>
      <c r="M135" s="45" t="s">
        <v>396</v>
      </c>
    </row>
    <row r="136" spans="1:13" ht="48" customHeight="1" x14ac:dyDescent="0.3">
      <c r="A136" s="45" t="s">
        <v>403</v>
      </c>
      <c r="B136" s="45" t="s">
        <v>317</v>
      </c>
      <c r="C136" s="45" t="s">
        <v>404</v>
      </c>
      <c r="D136" s="45" t="s">
        <v>76</v>
      </c>
      <c r="E136" s="45" t="s">
        <v>59</v>
      </c>
      <c r="F136" s="45" t="s">
        <v>60</v>
      </c>
      <c r="G136" s="45" t="s">
        <v>289</v>
      </c>
      <c r="H136" s="45" t="s">
        <v>290</v>
      </c>
      <c r="I136" s="45" t="s">
        <v>291</v>
      </c>
      <c r="J136" s="45" t="s">
        <v>292</v>
      </c>
      <c r="K136" s="45" t="s">
        <v>65</v>
      </c>
      <c r="L136" s="45" t="s">
        <v>65</v>
      </c>
      <c r="M136" s="45" t="s">
        <v>396</v>
      </c>
    </row>
    <row r="137" spans="1:13" ht="48" customHeight="1" x14ac:dyDescent="0.3">
      <c r="A137" s="45" t="s">
        <v>405</v>
      </c>
      <c r="B137" s="45" t="s">
        <v>317</v>
      </c>
      <c r="C137" s="45" t="s">
        <v>406</v>
      </c>
      <c r="D137" s="45" t="s">
        <v>76</v>
      </c>
      <c r="E137" s="45" t="s">
        <v>59</v>
      </c>
      <c r="F137" s="45" t="s">
        <v>60</v>
      </c>
      <c r="G137" s="45" t="s">
        <v>289</v>
      </c>
      <c r="H137" s="45" t="s">
        <v>290</v>
      </c>
      <c r="I137" s="45" t="s">
        <v>291</v>
      </c>
      <c r="J137" s="45" t="s">
        <v>292</v>
      </c>
      <c r="K137" s="45" t="s">
        <v>65</v>
      </c>
      <c r="L137" s="45" t="s">
        <v>65</v>
      </c>
      <c r="M137" s="45" t="s">
        <v>396</v>
      </c>
    </row>
    <row r="138" spans="1:13" ht="48" customHeight="1" x14ac:dyDescent="0.3">
      <c r="A138" s="45" t="s">
        <v>407</v>
      </c>
      <c r="B138" s="45" t="s">
        <v>317</v>
      </c>
      <c r="C138" s="45" t="s">
        <v>408</v>
      </c>
      <c r="D138" s="45" t="s">
        <v>58</v>
      </c>
      <c r="E138" s="45" t="s">
        <v>59</v>
      </c>
      <c r="F138" s="45" t="s">
        <v>60</v>
      </c>
      <c r="G138" s="45" t="s">
        <v>289</v>
      </c>
      <c r="H138" s="45" t="s">
        <v>290</v>
      </c>
      <c r="I138" s="45" t="s">
        <v>291</v>
      </c>
      <c r="J138" s="45" t="s">
        <v>292</v>
      </c>
      <c r="K138" s="45" t="s">
        <v>65</v>
      </c>
      <c r="L138" s="45" t="s">
        <v>65</v>
      </c>
      <c r="M138" s="45" t="s">
        <v>396</v>
      </c>
    </row>
    <row r="139" spans="1:13" ht="48" customHeight="1" x14ac:dyDescent="0.3">
      <c r="A139" s="45" t="s">
        <v>409</v>
      </c>
      <c r="B139" s="45" t="s">
        <v>317</v>
      </c>
      <c r="C139" s="45" t="s">
        <v>410</v>
      </c>
      <c r="D139" s="45" t="s">
        <v>58</v>
      </c>
      <c r="E139" s="45" t="s">
        <v>59</v>
      </c>
      <c r="F139" s="45" t="s">
        <v>60</v>
      </c>
      <c r="G139" s="45" t="s">
        <v>289</v>
      </c>
      <c r="H139" s="45" t="s">
        <v>290</v>
      </c>
      <c r="I139" s="45" t="s">
        <v>291</v>
      </c>
      <c r="J139" s="45" t="s">
        <v>292</v>
      </c>
      <c r="K139" s="45" t="s">
        <v>65</v>
      </c>
      <c r="L139" s="45" t="s">
        <v>65</v>
      </c>
      <c r="M139" s="45" t="s">
        <v>396</v>
      </c>
    </row>
    <row r="140" spans="1:13" ht="48" customHeight="1" x14ac:dyDescent="0.3">
      <c r="A140" s="45" t="s">
        <v>411</v>
      </c>
      <c r="B140" s="45" t="s">
        <v>317</v>
      </c>
      <c r="C140" s="45" t="s">
        <v>412</v>
      </c>
      <c r="D140" s="45" t="s">
        <v>76</v>
      </c>
      <c r="E140" s="45" t="s">
        <v>59</v>
      </c>
      <c r="F140" s="45" t="s">
        <v>60</v>
      </c>
      <c r="G140" s="45" t="s">
        <v>289</v>
      </c>
      <c r="H140" s="45" t="s">
        <v>290</v>
      </c>
      <c r="I140" s="45" t="s">
        <v>291</v>
      </c>
      <c r="J140" s="45" t="s">
        <v>331</v>
      </c>
      <c r="K140" s="45" t="s">
        <v>65</v>
      </c>
      <c r="L140" s="45" t="s">
        <v>65</v>
      </c>
      <c r="M140" s="45" t="s">
        <v>396</v>
      </c>
    </row>
    <row r="141" spans="1:13" ht="48" customHeight="1" x14ac:dyDescent="0.3">
      <c r="A141" s="45" t="s">
        <v>413</v>
      </c>
      <c r="B141" s="45" t="s">
        <v>317</v>
      </c>
      <c r="C141" s="45" t="s">
        <v>414</v>
      </c>
      <c r="D141" s="45" t="s">
        <v>58</v>
      </c>
      <c r="E141" s="45" t="s">
        <v>59</v>
      </c>
      <c r="F141" s="45" t="s">
        <v>60</v>
      </c>
      <c r="G141" s="45" t="s">
        <v>289</v>
      </c>
      <c r="H141" s="45" t="s">
        <v>290</v>
      </c>
      <c r="I141" s="45" t="s">
        <v>291</v>
      </c>
      <c r="J141" s="45" t="s">
        <v>327</v>
      </c>
      <c r="K141" s="45" t="s">
        <v>328</v>
      </c>
      <c r="L141" s="45" t="s">
        <v>79</v>
      </c>
      <c r="M141" s="45" t="s">
        <v>396</v>
      </c>
    </row>
    <row r="142" spans="1:13" ht="48" customHeight="1" x14ac:dyDescent="0.3">
      <c r="A142" s="45" t="s">
        <v>415</v>
      </c>
      <c r="B142" s="45" t="s">
        <v>317</v>
      </c>
      <c r="C142" s="45" t="s">
        <v>416</v>
      </c>
      <c r="D142" s="45" t="s">
        <v>58</v>
      </c>
      <c r="E142" s="45" t="s">
        <v>59</v>
      </c>
      <c r="F142" s="45" t="s">
        <v>60</v>
      </c>
      <c r="G142" s="45" t="s">
        <v>289</v>
      </c>
      <c r="H142" s="45" t="s">
        <v>290</v>
      </c>
      <c r="I142" s="45" t="s">
        <v>291</v>
      </c>
      <c r="J142" s="45" t="s">
        <v>292</v>
      </c>
      <c r="K142" s="45" t="s">
        <v>65</v>
      </c>
      <c r="L142" s="45" t="s">
        <v>65</v>
      </c>
      <c r="M142" s="45" t="s">
        <v>396</v>
      </c>
    </row>
    <row r="143" spans="1:13" ht="48" customHeight="1" x14ac:dyDescent="0.3">
      <c r="A143" s="45" t="s">
        <v>417</v>
      </c>
      <c r="B143" s="45" t="s">
        <v>317</v>
      </c>
      <c r="C143" s="45" t="s">
        <v>418</v>
      </c>
      <c r="D143" s="45" t="s">
        <v>58</v>
      </c>
      <c r="E143" s="45" t="s">
        <v>59</v>
      </c>
      <c r="F143" s="45" t="s">
        <v>60</v>
      </c>
      <c r="G143" s="45" t="s">
        <v>289</v>
      </c>
      <c r="H143" s="45" t="s">
        <v>290</v>
      </c>
      <c r="I143" s="45" t="s">
        <v>291</v>
      </c>
      <c r="J143" s="45" t="s">
        <v>292</v>
      </c>
      <c r="K143" s="45" t="s">
        <v>65</v>
      </c>
      <c r="L143" s="45" t="s">
        <v>65</v>
      </c>
      <c r="M143" s="45" t="s">
        <v>396</v>
      </c>
    </row>
    <row r="144" spans="1:13" ht="48" customHeight="1" x14ac:dyDescent="0.3">
      <c r="A144" s="45" t="s">
        <v>419</v>
      </c>
      <c r="B144" s="45" t="s">
        <v>317</v>
      </c>
      <c r="C144" s="45" t="s">
        <v>420</v>
      </c>
      <c r="D144" s="45" t="s">
        <v>58</v>
      </c>
      <c r="E144" s="45" t="s">
        <v>59</v>
      </c>
      <c r="F144" s="45" t="s">
        <v>60</v>
      </c>
      <c r="G144" s="45" t="s">
        <v>289</v>
      </c>
      <c r="H144" s="45" t="s">
        <v>290</v>
      </c>
      <c r="I144" s="45" t="s">
        <v>291</v>
      </c>
      <c r="J144" s="45" t="s">
        <v>327</v>
      </c>
      <c r="K144" s="45" t="s">
        <v>328</v>
      </c>
      <c r="L144" s="45" t="s">
        <v>79</v>
      </c>
      <c r="M144" s="45" t="s">
        <v>396</v>
      </c>
    </row>
    <row r="145" spans="1:13" ht="48" customHeight="1" x14ac:dyDescent="0.3">
      <c r="A145" s="45" t="s">
        <v>421</v>
      </c>
      <c r="B145" s="45" t="s">
        <v>317</v>
      </c>
      <c r="C145" s="45" t="s">
        <v>422</v>
      </c>
      <c r="D145" s="45" t="s">
        <v>76</v>
      </c>
      <c r="E145" s="45" t="s">
        <v>59</v>
      </c>
      <c r="F145" s="45" t="s">
        <v>60</v>
      </c>
      <c r="G145" s="45" t="s">
        <v>289</v>
      </c>
      <c r="H145" s="45" t="s">
        <v>290</v>
      </c>
      <c r="I145" s="45" t="s">
        <v>291</v>
      </c>
      <c r="J145" s="45" t="s">
        <v>292</v>
      </c>
      <c r="K145" s="45" t="s">
        <v>65</v>
      </c>
      <c r="L145" s="45" t="s">
        <v>65</v>
      </c>
      <c r="M145" s="45" t="s">
        <v>396</v>
      </c>
    </row>
    <row r="146" spans="1:13" ht="48" customHeight="1" x14ac:dyDescent="0.3">
      <c r="A146" s="45" t="s">
        <v>423</v>
      </c>
      <c r="B146" s="45" t="s">
        <v>317</v>
      </c>
      <c r="C146" s="45" t="s">
        <v>424</v>
      </c>
      <c r="D146" s="45" t="s">
        <v>76</v>
      </c>
      <c r="E146" s="45" t="s">
        <v>59</v>
      </c>
      <c r="F146" s="45" t="s">
        <v>60</v>
      </c>
      <c r="G146" s="45" t="s">
        <v>289</v>
      </c>
      <c r="H146" s="45" t="s">
        <v>290</v>
      </c>
      <c r="I146" s="45" t="s">
        <v>291</v>
      </c>
      <c r="J146" s="45" t="s">
        <v>292</v>
      </c>
      <c r="K146" s="45" t="s">
        <v>65</v>
      </c>
      <c r="L146" s="45" t="s">
        <v>65</v>
      </c>
      <c r="M146" s="45" t="s">
        <v>396</v>
      </c>
    </row>
    <row r="147" spans="1:13" ht="48" customHeight="1" x14ac:dyDescent="0.3">
      <c r="A147" s="45" t="s">
        <v>425</v>
      </c>
      <c r="B147" s="45" t="s">
        <v>317</v>
      </c>
      <c r="C147" s="45" t="s">
        <v>426</v>
      </c>
      <c r="D147" s="45" t="s">
        <v>76</v>
      </c>
      <c r="E147" s="45" t="s">
        <v>59</v>
      </c>
      <c r="F147" s="45" t="s">
        <v>60</v>
      </c>
      <c r="G147" s="45" t="s">
        <v>289</v>
      </c>
      <c r="H147" s="45" t="s">
        <v>290</v>
      </c>
      <c r="I147" s="45" t="s">
        <v>291</v>
      </c>
      <c r="J147" s="45" t="s">
        <v>292</v>
      </c>
      <c r="K147" s="45" t="s">
        <v>65</v>
      </c>
      <c r="L147" s="45" t="s">
        <v>65</v>
      </c>
      <c r="M147" s="45" t="s">
        <v>396</v>
      </c>
    </row>
    <row r="148" spans="1:13" ht="48" customHeight="1" x14ac:dyDescent="0.3">
      <c r="A148" s="45" t="s">
        <v>427</v>
      </c>
      <c r="B148" s="45" t="s">
        <v>317</v>
      </c>
      <c r="C148" s="45" t="s">
        <v>428</v>
      </c>
      <c r="D148" s="45" t="s">
        <v>58</v>
      </c>
      <c r="E148" s="45" t="s">
        <v>59</v>
      </c>
      <c r="F148" s="45" t="s">
        <v>60</v>
      </c>
      <c r="G148" s="45" t="s">
        <v>289</v>
      </c>
      <c r="H148" s="45" t="s">
        <v>290</v>
      </c>
      <c r="I148" s="45" t="s">
        <v>291</v>
      </c>
      <c r="J148" s="45" t="s">
        <v>292</v>
      </c>
      <c r="K148" s="45" t="s">
        <v>65</v>
      </c>
      <c r="L148" s="45" t="s">
        <v>65</v>
      </c>
      <c r="M148" s="45" t="s">
        <v>396</v>
      </c>
    </row>
    <row r="149" spans="1:13" ht="48" customHeight="1" x14ac:dyDescent="0.3">
      <c r="A149" s="45" t="s">
        <v>429</v>
      </c>
      <c r="B149" s="45" t="s">
        <v>287</v>
      </c>
      <c r="C149" s="45" t="s">
        <v>430</v>
      </c>
      <c r="D149" s="45" t="s">
        <v>58</v>
      </c>
      <c r="E149" s="45" t="s">
        <v>59</v>
      </c>
      <c r="F149" s="45" t="s">
        <v>60</v>
      </c>
      <c r="G149" s="45" t="s">
        <v>289</v>
      </c>
      <c r="H149" s="45" t="s">
        <v>290</v>
      </c>
      <c r="I149" s="45" t="s">
        <v>291</v>
      </c>
      <c r="J149" s="45" t="s">
        <v>292</v>
      </c>
      <c r="K149" s="45" t="s">
        <v>65</v>
      </c>
      <c r="L149" s="45" t="s">
        <v>65</v>
      </c>
      <c r="M149" s="45" t="s">
        <v>396</v>
      </c>
    </row>
    <row r="150" spans="1:13" ht="48" customHeight="1" x14ac:dyDescent="0.3">
      <c r="A150" s="45" t="s">
        <v>431</v>
      </c>
      <c r="B150" s="45" t="s">
        <v>287</v>
      </c>
      <c r="C150" s="45" t="s">
        <v>432</v>
      </c>
      <c r="D150" s="45" t="s">
        <v>58</v>
      </c>
      <c r="E150" s="45" t="s">
        <v>59</v>
      </c>
      <c r="F150" s="45" t="s">
        <v>60</v>
      </c>
      <c r="G150" s="45" t="s">
        <v>289</v>
      </c>
      <c r="H150" s="45" t="s">
        <v>290</v>
      </c>
      <c r="I150" s="45" t="s">
        <v>291</v>
      </c>
      <c r="J150" s="45" t="s">
        <v>327</v>
      </c>
      <c r="K150" s="45" t="s">
        <v>328</v>
      </c>
      <c r="L150" s="45" t="s">
        <v>79</v>
      </c>
      <c r="M150" s="45" t="s">
        <v>396</v>
      </c>
    </row>
    <row r="151" spans="1:13" ht="48" customHeight="1" x14ac:dyDescent="0.3">
      <c r="A151" s="45" t="s">
        <v>433</v>
      </c>
      <c r="B151" s="45" t="s">
        <v>287</v>
      </c>
      <c r="C151" s="45" t="s">
        <v>434</v>
      </c>
      <c r="D151" s="45" t="s">
        <v>58</v>
      </c>
      <c r="E151" s="45" t="s">
        <v>59</v>
      </c>
      <c r="F151" s="45" t="s">
        <v>60</v>
      </c>
      <c r="G151" s="45" t="s">
        <v>289</v>
      </c>
      <c r="H151" s="45" t="s">
        <v>290</v>
      </c>
      <c r="I151" s="45" t="s">
        <v>291</v>
      </c>
      <c r="J151" s="45" t="s">
        <v>292</v>
      </c>
      <c r="K151" s="45" t="s">
        <v>65</v>
      </c>
      <c r="L151" s="45" t="s">
        <v>65</v>
      </c>
      <c r="M151" s="45" t="s">
        <v>396</v>
      </c>
    </row>
    <row r="152" spans="1:13" ht="48" customHeight="1" x14ac:dyDescent="0.3">
      <c r="A152" s="45" t="s">
        <v>435</v>
      </c>
      <c r="B152" s="45" t="s">
        <v>317</v>
      </c>
      <c r="C152" s="45" t="s">
        <v>436</v>
      </c>
      <c r="D152" s="45" t="s">
        <v>58</v>
      </c>
      <c r="E152" s="45" t="s">
        <v>59</v>
      </c>
      <c r="F152" s="45" t="s">
        <v>60</v>
      </c>
      <c r="G152" s="45" t="s">
        <v>289</v>
      </c>
      <c r="H152" s="45" t="s">
        <v>290</v>
      </c>
      <c r="I152" s="45" t="s">
        <v>291</v>
      </c>
      <c r="J152" s="45" t="s">
        <v>292</v>
      </c>
      <c r="K152" s="45" t="s">
        <v>65</v>
      </c>
      <c r="L152" s="45" t="s">
        <v>65</v>
      </c>
      <c r="M152" s="45" t="s">
        <v>437</v>
      </c>
    </row>
    <row r="153" spans="1:13" ht="48" customHeight="1" x14ac:dyDescent="0.3">
      <c r="A153" s="45" t="s">
        <v>438</v>
      </c>
      <c r="B153" s="45" t="s">
        <v>317</v>
      </c>
      <c r="C153" s="45" t="s">
        <v>439</v>
      </c>
      <c r="D153" s="45" t="s">
        <v>58</v>
      </c>
      <c r="E153" s="45" t="s">
        <v>59</v>
      </c>
      <c r="F153" s="45" t="s">
        <v>60</v>
      </c>
      <c r="G153" s="45" t="s">
        <v>289</v>
      </c>
      <c r="H153" s="45" t="s">
        <v>290</v>
      </c>
      <c r="I153" s="45" t="s">
        <v>291</v>
      </c>
      <c r="J153" s="45" t="s">
        <v>292</v>
      </c>
      <c r="K153" s="45" t="s">
        <v>65</v>
      </c>
      <c r="L153" s="45" t="s">
        <v>65</v>
      </c>
      <c r="M153" s="45" t="s">
        <v>437</v>
      </c>
    </row>
    <row r="154" spans="1:13" ht="48" customHeight="1" x14ac:dyDescent="0.3">
      <c r="A154" s="45" t="s">
        <v>440</v>
      </c>
      <c r="B154" s="45" t="s">
        <v>317</v>
      </c>
      <c r="C154" s="45" t="s">
        <v>441</v>
      </c>
      <c r="D154" s="45" t="s">
        <v>58</v>
      </c>
      <c r="E154" s="45" t="s">
        <v>59</v>
      </c>
      <c r="F154" s="45" t="s">
        <v>60</v>
      </c>
      <c r="G154" s="45" t="s">
        <v>289</v>
      </c>
      <c r="H154" s="45" t="s">
        <v>290</v>
      </c>
      <c r="I154" s="45" t="s">
        <v>291</v>
      </c>
      <c r="J154" s="45" t="s">
        <v>292</v>
      </c>
      <c r="K154" s="45" t="s">
        <v>65</v>
      </c>
      <c r="L154" s="45" t="s">
        <v>65</v>
      </c>
      <c r="M154" s="45" t="s">
        <v>437</v>
      </c>
    </row>
    <row r="155" spans="1:13" ht="48" customHeight="1" x14ac:dyDescent="0.3">
      <c r="A155" s="45" t="s">
        <v>442</v>
      </c>
      <c r="B155" s="45" t="s">
        <v>317</v>
      </c>
      <c r="C155" s="45" t="s">
        <v>443</v>
      </c>
      <c r="D155" s="45" t="s">
        <v>58</v>
      </c>
      <c r="E155" s="45" t="s">
        <v>59</v>
      </c>
      <c r="F155" s="45" t="s">
        <v>60</v>
      </c>
      <c r="G155" s="45" t="s">
        <v>289</v>
      </c>
      <c r="H155" s="45" t="s">
        <v>290</v>
      </c>
      <c r="I155" s="45" t="s">
        <v>291</v>
      </c>
      <c r="J155" s="45" t="s">
        <v>327</v>
      </c>
      <c r="K155" s="45" t="s">
        <v>328</v>
      </c>
      <c r="L155" s="45" t="s">
        <v>79</v>
      </c>
      <c r="M155" s="45" t="s">
        <v>437</v>
      </c>
    </row>
    <row r="156" spans="1:13" ht="48" customHeight="1" x14ac:dyDescent="0.3">
      <c r="A156" s="45" t="s">
        <v>444</v>
      </c>
      <c r="B156" s="45" t="s">
        <v>317</v>
      </c>
      <c r="C156" s="45" t="s">
        <v>445</v>
      </c>
      <c r="D156" s="45" t="s">
        <v>58</v>
      </c>
      <c r="E156" s="45" t="s">
        <v>59</v>
      </c>
      <c r="F156" s="45" t="s">
        <v>60</v>
      </c>
      <c r="G156" s="45" t="s">
        <v>289</v>
      </c>
      <c r="H156" s="45" t="s">
        <v>290</v>
      </c>
      <c r="I156" s="45" t="s">
        <v>291</v>
      </c>
      <c r="J156" s="45" t="s">
        <v>292</v>
      </c>
      <c r="K156" s="45" t="s">
        <v>65</v>
      </c>
      <c r="L156" s="45" t="s">
        <v>65</v>
      </c>
      <c r="M156" s="45" t="s">
        <v>437</v>
      </c>
    </row>
    <row r="157" spans="1:13" ht="48" customHeight="1" x14ac:dyDescent="0.3">
      <c r="A157" s="45" t="s">
        <v>446</v>
      </c>
      <c r="B157" s="45" t="s">
        <v>317</v>
      </c>
      <c r="C157" s="45" t="s">
        <v>447</v>
      </c>
      <c r="D157" s="45" t="s">
        <v>58</v>
      </c>
      <c r="E157" s="45" t="s">
        <v>59</v>
      </c>
      <c r="F157" s="45" t="s">
        <v>60</v>
      </c>
      <c r="G157" s="45" t="s">
        <v>289</v>
      </c>
      <c r="H157" s="45" t="s">
        <v>290</v>
      </c>
      <c r="I157" s="45" t="s">
        <v>291</v>
      </c>
      <c r="J157" s="45" t="s">
        <v>292</v>
      </c>
      <c r="K157" s="45" t="s">
        <v>65</v>
      </c>
      <c r="L157" s="45" t="s">
        <v>65</v>
      </c>
      <c r="M157" s="45" t="s">
        <v>437</v>
      </c>
    </row>
    <row r="158" spans="1:13" ht="48" customHeight="1" x14ac:dyDescent="0.3">
      <c r="A158" s="45" t="s">
        <v>448</v>
      </c>
      <c r="B158" s="45" t="s">
        <v>317</v>
      </c>
      <c r="C158" s="45" t="s">
        <v>449</v>
      </c>
      <c r="D158" s="45" t="s">
        <v>76</v>
      </c>
      <c r="E158" s="45" t="s">
        <v>59</v>
      </c>
      <c r="F158" s="45" t="s">
        <v>60</v>
      </c>
      <c r="G158" s="45" t="s">
        <v>289</v>
      </c>
      <c r="H158" s="45" t="s">
        <v>290</v>
      </c>
      <c r="I158" s="45" t="s">
        <v>291</v>
      </c>
      <c r="J158" s="45" t="s">
        <v>331</v>
      </c>
      <c r="K158" s="45" t="s">
        <v>65</v>
      </c>
      <c r="L158" s="45" t="s">
        <v>65</v>
      </c>
      <c r="M158" s="45" t="s">
        <v>437</v>
      </c>
    </row>
    <row r="159" spans="1:13" ht="48" customHeight="1" x14ac:dyDescent="0.3">
      <c r="A159" s="45" t="s">
        <v>450</v>
      </c>
      <c r="B159" s="45" t="s">
        <v>317</v>
      </c>
      <c r="C159" s="45" t="s">
        <v>451</v>
      </c>
      <c r="D159" s="45" t="s">
        <v>58</v>
      </c>
      <c r="E159" s="45" t="s">
        <v>59</v>
      </c>
      <c r="F159" s="45" t="s">
        <v>60</v>
      </c>
      <c r="G159" s="45" t="s">
        <v>289</v>
      </c>
      <c r="H159" s="45" t="s">
        <v>290</v>
      </c>
      <c r="I159" s="45" t="s">
        <v>291</v>
      </c>
      <c r="J159" s="45" t="s">
        <v>292</v>
      </c>
      <c r="K159" s="45" t="s">
        <v>65</v>
      </c>
      <c r="L159" s="45" t="s">
        <v>65</v>
      </c>
      <c r="M159" s="45" t="s">
        <v>437</v>
      </c>
    </row>
    <row r="160" spans="1:13" ht="48" customHeight="1" x14ac:dyDescent="0.3">
      <c r="A160" s="45" t="s">
        <v>452</v>
      </c>
      <c r="B160" s="45" t="s">
        <v>317</v>
      </c>
      <c r="C160" s="45" t="s">
        <v>453</v>
      </c>
      <c r="D160" s="45" t="s">
        <v>58</v>
      </c>
      <c r="E160" s="45" t="s">
        <v>59</v>
      </c>
      <c r="F160" s="45" t="s">
        <v>60</v>
      </c>
      <c r="G160" s="45" t="s">
        <v>289</v>
      </c>
      <c r="H160" s="45" t="s">
        <v>290</v>
      </c>
      <c r="I160" s="45" t="s">
        <v>291</v>
      </c>
      <c r="J160" s="45" t="s">
        <v>327</v>
      </c>
      <c r="K160" s="45" t="s">
        <v>328</v>
      </c>
      <c r="L160" s="45" t="s">
        <v>79</v>
      </c>
      <c r="M160" s="45" t="s">
        <v>437</v>
      </c>
    </row>
    <row r="161" spans="1:13" ht="48" customHeight="1" x14ac:dyDescent="0.3">
      <c r="A161" s="45" t="s">
        <v>454</v>
      </c>
      <c r="B161" s="45" t="s">
        <v>287</v>
      </c>
      <c r="C161" s="45" t="s">
        <v>455</v>
      </c>
      <c r="D161" s="45" t="s">
        <v>58</v>
      </c>
      <c r="E161" s="45" t="s">
        <v>59</v>
      </c>
      <c r="F161" s="45" t="s">
        <v>60</v>
      </c>
      <c r="G161" s="45" t="s">
        <v>289</v>
      </c>
      <c r="H161" s="45" t="s">
        <v>290</v>
      </c>
      <c r="I161" s="45" t="s">
        <v>291</v>
      </c>
      <c r="J161" s="45" t="s">
        <v>292</v>
      </c>
      <c r="K161" s="45" t="s">
        <v>65</v>
      </c>
      <c r="L161" s="45" t="s">
        <v>65</v>
      </c>
      <c r="M161" s="45" t="s">
        <v>437</v>
      </c>
    </row>
    <row r="162" spans="1:13" ht="48" customHeight="1" x14ac:dyDescent="0.3">
      <c r="A162" s="45" t="s">
        <v>456</v>
      </c>
      <c r="B162" s="45" t="s">
        <v>287</v>
      </c>
      <c r="C162" s="45" t="s">
        <v>457</v>
      </c>
      <c r="D162" s="45" t="s">
        <v>58</v>
      </c>
      <c r="E162" s="45" t="s">
        <v>59</v>
      </c>
      <c r="F162" s="45" t="s">
        <v>60</v>
      </c>
      <c r="G162" s="45" t="s">
        <v>289</v>
      </c>
      <c r="H162" s="45" t="s">
        <v>290</v>
      </c>
      <c r="I162" s="45" t="s">
        <v>291</v>
      </c>
      <c r="J162" s="45" t="s">
        <v>292</v>
      </c>
      <c r="K162" s="45" t="s">
        <v>65</v>
      </c>
      <c r="L162" s="45" t="s">
        <v>65</v>
      </c>
      <c r="M162" s="45" t="s">
        <v>437</v>
      </c>
    </row>
    <row r="163" spans="1:13" ht="48" customHeight="1" x14ac:dyDescent="0.3">
      <c r="A163" s="45" t="s">
        <v>458</v>
      </c>
      <c r="B163" s="45" t="s">
        <v>287</v>
      </c>
      <c r="C163" s="45" t="s">
        <v>459</v>
      </c>
      <c r="D163" s="45" t="s">
        <v>58</v>
      </c>
      <c r="E163" s="45" t="s">
        <v>59</v>
      </c>
      <c r="F163" s="45" t="s">
        <v>60</v>
      </c>
      <c r="G163" s="45" t="s">
        <v>289</v>
      </c>
      <c r="H163" s="45" t="s">
        <v>290</v>
      </c>
      <c r="I163" s="45" t="s">
        <v>291</v>
      </c>
      <c r="J163" s="45" t="s">
        <v>292</v>
      </c>
      <c r="K163" s="45" t="s">
        <v>65</v>
      </c>
      <c r="L163" s="45" t="s">
        <v>65</v>
      </c>
      <c r="M163" s="45" t="s">
        <v>437</v>
      </c>
    </row>
    <row r="164" spans="1:13" ht="48" customHeight="1" x14ac:dyDescent="0.3">
      <c r="A164" s="45" t="s">
        <v>460</v>
      </c>
      <c r="B164" s="45" t="s">
        <v>287</v>
      </c>
      <c r="C164" s="45" t="s">
        <v>461</v>
      </c>
      <c r="D164" s="45" t="s">
        <v>58</v>
      </c>
      <c r="E164" s="45" t="s">
        <v>59</v>
      </c>
      <c r="F164" s="45" t="s">
        <v>60</v>
      </c>
      <c r="G164" s="45" t="s">
        <v>289</v>
      </c>
      <c r="H164" s="45" t="s">
        <v>290</v>
      </c>
      <c r="I164" s="45" t="s">
        <v>291</v>
      </c>
      <c r="J164" s="45" t="s">
        <v>292</v>
      </c>
      <c r="K164" s="45" t="s">
        <v>65</v>
      </c>
      <c r="L164" s="45" t="s">
        <v>65</v>
      </c>
      <c r="M164" s="45" t="s">
        <v>437</v>
      </c>
    </row>
    <row r="165" spans="1:13" ht="48" customHeight="1" x14ac:dyDescent="0.3">
      <c r="A165" s="45" t="s">
        <v>462</v>
      </c>
      <c r="B165" s="45" t="s">
        <v>287</v>
      </c>
      <c r="C165" s="45" t="s">
        <v>463</v>
      </c>
      <c r="D165" s="45" t="s">
        <v>58</v>
      </c>
      <c r="E165" s="45" t="s">
        <v>59</v>
      </c>
      <c r="F165" s="45" t="s">
        <v>60</v>
      </c>
      <c r="G165" s="45" t="s">
        <v>289</v>
      </c>
      <c r="H165" s="45" t="s">
        <v>290</v>
      </c>
      <c r="I165" s="45" t="s">
        <v>291</v>
      </c>
      <c r="J165" s="45" t="s">
        <v>292</v>
      </c>
      <c r="K165" s="45" t="s">
        <v>65</v>
      </c>
      <c r="L165" s="45" t="s">
        <v>65</v>
      </c>
      <c r="M165" s="45" t="s">
        <v>437</v>
      </c>
    </row>
    <row r="166" spans="1:13" ht="48" customHeight="1" x14ac:dyDescent="0.3">
      <c r="A166" s="45" t="s">
        <v>464</v>
      </c>
      <c r="B166" s="45" t="s">
        <v>287</v>
      </c>
      <c r="C166" s="45" t="s">
        <v>465</v>
      </c>
      <c r="D166" s="45" t="s">
        <v>76</v>
      </c>
      <c r="E166" s="45" t="s">
        <v>59</v>
      </c>
      <c r="F166" s="45" t="s">
        <v>60</v>
      </c>
      <c r="G166" s="45" t="s">
        <v>289</v>
      </c>
      <c r="H166" s="45" t="s">
        <v>290</v>
      </c>
      <c r="I166" s="45" t="s">
        <v>291</v>
      </c>
      <c r="J166" s="45" t="s">
        <v>292</v>
      </c>
      <c r="K166" s="45" t="s">
        <v>65</v>
      </c>
      <c r="L166" s="45" t="s">
        <v>65</v>
      </c>
      <c r="M166" s="45" t="s">
        <v>437</v>
      </c>
    </row>
    <row r="167" spans="1:13" ht="48" customHeight="1" x14ac:dyDescent="0.3">
      <c r="A167" s="45" t="s">
        <v>466</v>
      </c>
      <c r="B167" s="45" t="s">
        <v>287</v>
      </c>
      <c r="C167" s="45" t="s">
        <v>467</v>
      </c>
      <c r="D167" s="45" t="s">
        <v>58</v>
      </c>
      <c r="E167" s="45" t="s">
        <v>59</v>
      </c>
      <c r="F167" s="45" t="s">
        <v>60</v>
      </c>
      <c r="G167" s="45" t="s">
        <v>289</v>
      </c>
      <c r="H167" s="45" t="s">
        <v>290</v>
      </c>
      <c r="I167" s="45" t="s">
        <v>291</v>
      </c>
      <c r="J167" s="45" t="s">
        <v>292</v>
      </c>
      <c r="K167" s="45" t="s">
        <v>65</v>
      </c>
      <c r="L167" s="45" t="s">
        <v>65</v>
      </c>
      <c r="M167" s="45" t="s">
        <v>437</v>
      </c>
    </row>
    <row r="168" spans="1:13" ht="48" customHeight="1" x14ac:dyDescent="0.3">
      <c r="A168" s="45" t="s">
        <v>468</v>
      </c>
      <c r="B168" s="45" t="s">
        <v>287</v>
      </c>
      <c r="C168" s="45" t="s">
        <v>469</v>
      </c>
      <c r="D168" s="45" t="s">
        <v>58</v>
      </c>
      <c r="E168" s="45" t="s">
        <v>59</v>
      </c>
      <c r="F168" s="45" t="s">
        <v>60</v>
      </c>
      <c r="G168" s="45" t="s">
        <v>289</v>
      </c>
      <c r="H168" s="45" t="s">
        <v>290</v>
      </c>
      <c r="I168" s="45" t="s">
        <v>291</v>
      </c>
      <c r="J168" s="45" t="s">
        <v>292</v>
      </c>
      <c r="K168" s="45" t="s">
        <v>65</v>
      </c>
      <c r="L168" s="45" t="s">
        <v>65</v>
      </c>
      <c r="M168" s="45" t="s">
        <v>437</v>
      </c>
    </row>
    <row r="169" spans="1:13" ht="48" customHeight="1" x14ac:dyDescent="0.3">
      <c r="A169" s="45" t="s">
        <v>470</v>
      </c>
      <c r="B169" s="45" t="s">
        <v>380</v>
      </c>
      <c r="C169" s="45" t="s">
        <v>471</v>
      </c>
      <c r="D169" s="45" t="s">
        <v>58</v>
      </c>
      <c r="E169" s="45" t="s">
        <v>59</v>
      </c>
      <c r="F169" s="45" t="s">
        <v>60</v>
      </c>
      <c r="G169" s="45" t="s">
        <v>289</v>
      </c>
      <c r="H169" s="45" t="s">
        <v>290</v>
      </c>
      <c r="I169" s="45" t="s">
        <v>291</v>
      </c>
      <c r="J169" s="45" t="s">
        <v>292</v>
      </c>
      <c r="K169" s="45" t="s">
        <v>65</v>
      </c>
      <c r="L169" s="45" t="s">
        <v>65</v>
      </c>
      <c r="M169" s="45" t="s">
        <v>437</v>
      </c>
    </row>
    <row r="170" spans="1:13" ht="48" customHeight="1" x14ac:dyDescent="0.3">
      <c r="A170" s="45" t="s">
        <v>472</v>
      </c>
      <c r="B170" s="45" t="s">
        <v>380</v>
      </c>
      <c r="C170" s="45" t="s">
        <v>473</v>
      </c>
      <c r="D170" s="45" t="s">
        <v>58</v>
      </c>
      <c r="E170" s="45" t="s">
        <v>59</v>
      </c>
      <c r="F170" s="45" t="s">
        <v>60</v>
      </c>
      <c r="G170" s="45" t="s">
        <v>289</v>
      </c>
      <c r="H170" s="45" t="s">
        <v>290</v>
      </c>
      <c r="I170" s="45" t="s">
        <v>291</v>
      </c>
      <c r="J170" s="45" t="s">
        <v>327</v>
      </c>
      <c r="K170" s="45" t="s">
        <v>328</v>
      </c>
      <c r="L170" s="45" t="s">
        <v>79</v>
      </c>
      <c r="M170" s="45" t="s">
        <v>437</v>
      </c>
    </row>
    <row r="171" spans="1:13" ht="48" customHeight="1" x14ac:dyDescent="0.3">
      <c r="A171" s="45" t="s">
        <v>474</v>
      </c>
      <c r="B171" s="45" t="s">
        <v>380</v>
      </c>
      <c r="C171" s="45" t="s">
        <v>475</v>
      </c>
      <c r="D171" s="45" t="s">
        <v>58</v>
      </c>
      <c r="E171" s="45" t="s">
        <v>59</v>
      </c>
      <c r="F171" s="45" t="s">
        <v>60</v>
      </c>
      <c r="G171" s="45" t="s">
        <v>289</v>
      </c>
      <c r="H171" s="45" t="s">
        <v>290</v>
      </c>
      <c r="I171" s="45" t="s">
        <v>291</v>
      </c>
      <c r="J171" s="45" t="s">
        <v>292</v>
      </c>
      <c r="K171" s="45" t="s">
        <v>65</v>
      </c>
      <c r="L171" s="45" t="s">
        <v>65</v>
      </c>
      <c r="M171" s="45" t="s">
        <v>437</v>
      </c>
    </row>
    <row r="172" spans="1:13" ht="48" customHeight="1" x14ac:dyDescent="0.3">
      <c r="A172" s="45" t="s">
        <v>476</v>
      </c>
      <c r="B172" s="45" t="s">
        <v>317</v>
      </c>
      <c r="C172" s="45" t="s">
        <v>477</v>
      </c>
      <c r="D172" s="45" t="s">
        <v>76</v>
      </c>
      <c r="E172" s="45" t="s">
        <v>59</v>
      </c>
      <c r="F172" s="45" t="s">
        <v>60</v>
      </c>
      <c r="G172" s="45" t="s">
        <v>289</v>
      </c>
      <c r="H172" s="45" t="s">
        <v>290</v>
      </c>
      <c r="I172" s="45" t="s">
        <v>291</v>
      </c>
      <c r="J172" s="45" t="s">
        <v>331</v>
      </c>
      <c r="K172" s="45" t="s">
        <v>65</v>
      </c>
      <c r="L172" s="45" t="s">
        <v>65</v>
      </c>
      <c r="M172" s="45" t="s">
        <v>437</v>
      </c>
    </row>
    <row r="173" spans="1:13" ht="48" customHeight="1" x14ac:dyDescent="0.3">
      <c r="A173" s="45" t="s">
        <v>478</v>
      </c>
      <c r="B173" s="45" t="s">
        <v>317</v>
      </c>
      <c r="C173" s="45" t="s">
        <v>479</v>
      </c>
      <c r="D173" s="45" t="s">
        <v>76</v>
      </c>
      <c r="E173" s="45" t="s">
        <v>59</v>
      </c>
      <c r="F173" s="45" t="s">
        <v>60</v>
      </c>
      <c r="G173" s="45" t="s">
        <v>289</v>
      </c>
      <c r="H173" s="45" t="s">
        <v>290</v>
      </c>
      <c r="I173" s="45" t="s">
        <v>291</v>
      </c>
      <c r="J173" s="45" t="s">
        <v>331</v>
      </c>
      <c r="K173" s="45" t="s">
        <v>65</v>
      </c>
      <c r="L173" s="45" t="s">
        <v>65</v>
      </c>
      <c r="M173" s="45" t="s">
        <v>437</v>
      </c>
    </row>
  </sheetData>
  <phoneticPr fontId="2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5" right="0.5" top="0.5" bottom="0.5" header="0" footer="0"/>
  <pageSetup paperSize="9" scale="85" orientation="landscape" horizont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28125" defaultRowHeight="15.6" x14ac:dyDescent="0.25"/>
  <cols>
    <col min="1" max="1" width="4.6328125" style="1" customWidth="1"/>
    <col min="2" max="2" width="67.6328125" style="1" customWidth="1"/>
    <col min="3" max="3" width="11.6328125" style="1" customWidth="1"/>
    <col min="4" max="16384" width="11.6328125" style="1"/>
  </cols>
  <sheetData>
    <row r="1" spans="1:3" ht="16.2" customHeight="1" x14ac:dyDescent="0.3">
      <c r="A1" s="39" t="s">
        <v>480</v>
      </c>
      <c r="B1" s="39"/>
      <c r="C1" s="2"/>
    </row>
    <row r="2" spans="1:3" ht="28.8" customHeight="1" x14ac:dyDescent="0.25">
      <c r="A2" s="40">
        <v>1</v>
      </c>
      <c r="B2" s="41" t="s">
        <v>481</v>
      </c>
      <c r="C2" s="2"/>
    </row>
    <row r="3" spans="1:3" x14ac:dyDescent="0.25">
      <c r="A3" s="40">
        <v>2</v>
      </c>
      <c r="B3" s="41" t="s">
        <v>482</v>
      </c>
      <c r="C3" s="2"/>
    </row>
    <row r="4" spans="1:3" ht="42.6" customHeight="1" x14ac:dyDescent="0.25">
      <c r="A4" s="40">
        <v>3</v>
      </c>
      <c r="B4" s="41" t="s">
        <v>483</v>
      </c>
      <c r="C4" s="2"/>
    </row>
    <row r="5" spans="1:3" ht="28.8" customHeight="1" x14ac:dyDescent="0.25">
      <c r="A5" s="40">
        <v>4</v>
      </c>
      <c r="B5" s="41" t="s">
        <v>484</v>
      </c>
      <c r="C5" s="2"/>
    </row>
    <row r="6" spans="1:3" ht="33" customHeight="1" x14ac:dyDescent="0.25">
      <c r="A6" s="40">
        <v>5</v>
      </c>
      <c r="B6" s="41" t="s">
        <v>485</v>
      </c>
      <c r="C6" s="2"/>
    </row>
    <row r="7" spans="1:3" ht="42.6" customHeight="1" x14ac:dyDescent="0.25">
      <c r="A7" s="40">
        <v>6</v>
      </c>
      <c r="B7" s="41" t="s">
        <v>486</v>
      </c>
      <c r="C7" s="2"/>
    </row>
    <row r="8" spans="1:3" x14ac:dyDescent="0.25">
      <c r="A8" s="40">
        <v>7</v>
      </c>
      <c r="B8" s="41" t="s">
        <v>487</v>
      </c>
      <c r="C8" s="2"/>
    </row>
    <row r="9" spans="1:3" x14ac:dyDescent="0.25">
      <c r="A9" s="42">
        <v>8</v>
      </c>
      <c r="B9" s="43" t="s">
        <v>488</v>
      </c>
      <c r="C9" s="2"/>
    </row>
    <row r="10" spans="1:3" ht="73.5" customHeight="1" x14ac:dyDescent="0.25">
      <c r="A10" s="42">
        <v>9</v>
      </c>
      <c r="B10" s="43" t="s">
        <v>489</v>
      </c>
    </row>
  </sheetData>
  <sheetProtection sheet="1" objects="1" scenarios="1"/>
  <phoneticPr fontId="2" type="noConversion"/>
  <pageMargins left="0.5" right="0.5" top="0.5" bottom="0.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jiacheng li</cp:lastModifiedBy>
  <cp:lastPrinted>2003-12-15T03:50:21Z</cp:lastPrinted>
  <dcterms:created xsi:type="dcterms:W3CDTF">2003-02-20T06:59:55Z</dcterms:created>
  <dcterms:modified xsi:type="dcterms:W3CDTF">2026-09-14T11:59:03Z</dcterms:modified>
</cp:coreProperties>
</file>